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wag365-my.sharepoint.com/personal/barguser_eurowag_com/Documents/Research/"/>
    </mc:Choice>
  </mc:AlternateContent>
  <xr:revisionPtr revIDLastSave="874" documentId="8_{CED99469-86DE-AD4A-8ACA-CCF3068215E1}" xr6:coauthVersionLast="47" xr6:coauthVersionMax="47" xr10:uidLastSave="{F8E912D7-4385-624F-9E16-99FA6838A6D4}"/>
  <bookViews>
    <workbookView xWindow="4300" yWindow="8900" windowWidth="35320" windowHeight="18320" xr2:uid="{BA231735-E22C-5349-92DC-741349E81A4F}"/>
  </bookViews>
  <sheets>
    <sheet name="Lightweight Freemium" sheetId="1" r:id="rId1"/>
    <sheet name="Hard Paywall" sheetId="2" r:id="rId2"/>
    <sheet name="LFr vs HPw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D8" i="3"/>
  <c r="E8" i="3" s="1"/>
  <c r="C11" i="3"/>
  <c r="C8" i="3"/>
  <c r="K17" i="2"/>
  <c r="V17" i="2" s="1"/>
  <c r="F17" i="2"/>
  <c r="M17" i="2" s="1"/>
  <c r="K16" i="2"/>
  <c r="V16" i="2" s="1"/>
  <c r="F16" i="2"/>
  <c r="K15" i="2"/>
  <c r="V15" i="2" s="1"/>
  <c r="F15" i="2"/>
  <c r="G15" i="2" s="1"/>
  <c r="I15" i="2" s="1"/>
  <c r="U15" i="2" s="1"/>
  <c r="K14" i="2"/>
  <c r="V14" i="2" s="1"/>
  <c r="F14" i="2"/>
  <c r="R14" i="2" s="1"/>
  <c r="K13" i="2"/>
  <c r="V13" i="2" s="1"/>
  <c r="F13" i="2"/>
  <c r="R13" i="2" s="1"/>
  <c r="K12" i="2"/>
  <c r="V12" i="2" s="1"/>
  <c r="F12" i="2"/>
  <c r="K11" i="2"/>
  <c r="V11" i="2" s="1"/>
  <c r="F11" i="2"/>
  <c r="R11" i="2" s="1"/>
  <c r="K10" i="2"/>
  <c r="V10" i="2" s="1"/>
  <c r="F10" i="2"/>
  <c r="G10" i="2" s="1"/>
  <c r="I10" i="2" s="1"/>
  <c r="U10" i="2" s="1"/>
  <c r="K9" i="2"/>
  <c r="V9" i="2" s="1"/>
  <c r="F9" i="2"/>
  <c r="K8" i="2"/>
  <c r="V8" i="2" s="1"/>
  <c r="F8" i="2"/>
  <c r="M8" i="2" s="1"/>
  <c r="V9" i="1"/>
  <c r="K17" i="1"/>
  <c r="V17" i="1" s="1"/>
  <c r="K16" i="1"/>
  <c r="V16" i="1" s="1"/>
  <c r="K15" i="1"/>
  <c r="V15" i="1" s="1"/>
  <c r="K14" i="1"/>
  <c r="V14" i="1" s="1"/>
  <c r="K13" i="1"/>
  <c r="V13" i="1" s="1"/>
  <c r="K12" i="1"/>
  <c r="V12" i="1" s="1"/>
  <c r="K11" i="1"/>
  <c r="V11" i="1" s="1"/>
  <c r="K10" i="1"/>
  <c r="V10" i="1" s="1"/>
  <c r="K9" i="1"/>
  <c r="K8" i="1"/>
  <c r="V8" i="1" s="1"/>
  <c r="F8" i="1"/>
  <c r="R8" i="1" s="1"/>
  <c r="F17" i="1"/>
  <c r="M17" i="1" s="1"/>
  <c r="F16" i="1"/>
  <c r="M16" i="1" s="1"/>
  <c r="F15" i="1"/>
  <c r="M15" i="1" s="1"/>
  <c r="F14" i="1"/>
  <c r="M14" i="1" s="1"/>
  <c r="F13" i="1"/>
  <c r="M13" i="1" s="1"/>
  <c r="F12" i="1"/>
  <c r="M12" i="1" s="1"/>
  <c r="F11" i="1"/>
  <c r="M11" i="1" s="1"/>
  <c r="F10" i="1"/>
  <c r="M10" i="1" s="1"/>
  <c r="F9" i="1"/>
  <c r="M9" i="1" s="1"/>
  <c r="M16" i="2" l="1"/>
  <c r="R16" i="2"/>
  <c r="R12" i="2"/>
  <c r="M12" i="2"/>
  <c r="R9" i="2"/>
  <c r="M9" i="2"/>
  <c r="M10" i="2"/>
  <c r="N10" i="2" s="1"/>
  <c r="G9" i="2"/>
  <c r="I9" i="2" s="1"/>
  <c r="U9" i="2" s="1"/>
  <c r="R8" i="2"/>
  <c r="C9" i="3"/>
  <c r="D13" i="3"/>
  <c r="C13" i="3"/>
  <c r="D9" i="3"/>
  <c r="E13" i="3"/>
  <c r="E11" i="3"/>
  <c r="Y9" i="2"/>
  <c r="W9" i="2"/>
  <c r="W10" i="2"/>
  <c r="Y10" i="2"/>
  <c r="N8" i="2"/>
  <c r="O8" i="2"/>
  <c r="Y15" i="2"/>
  <c r="W15" i="2"/>
  <c r="N16" i="2"/>
  <c r="O16" i="2" s="1"/>
  <c r="N17" i="2"/>
  <c r="O17" i="2" s="1"/>
  <c r="G12" i="2"/>
  <c r="I12" i="2" s="1"/>
  <c r="U12" i="2" s="1"/>
  <c r="M13" i="2"/>
  <c r="R17" i="2"/>
  <c r="G17" i="2"/>
  <c r="I17" i="2" s="1"/>
  <c r="U17" i="2" s="1"/>
  <c r="G14" i="2"/>
  <c r="I14" i="2" s="1"/>
  <c r="U14" i="2" s="1"/>
  <c r="M15" i="2"/>
  <c r="G16" i="2"/>
  <c r="I16" i="2" s="1"/>
  <c r="U16" i="2" s="1"/>
  <c r="O10" i="2"/>
  <c r="N12" i="2"/>
  <c r="O12" i="2" s="1"/>
  <c r="N9" i="2"/>
  <c r="O9" i="2" s="1"/>
  <c r="R10" i="2"/>
  <c r="G13" i="2"/>
  <c r="I13" i="2" s="1"/>
  <c r="U13" i="2" s="1"/>
  <c r="M14" i="2"/>
  <c r="G11" i="2"/>
  <c r="I11" i="2" s="1"/>
  <c r="U11" i="2" s="1"/>
  <c r="M11" i="2"/>
  <c r="R15" i="2"/>
  <c r="G8" i="2"/>
  <c r="G14" i="1"/>
  <c r="I14" i="1" s="1"/>
  <c r="U14" i="1" s="1"/>
  <c r="Y14" i="1" s="1"/>
  <c r="Z14" i="1" s="1"/>
  <c r="G13" i="1"/>
  <c r="I13" i="1" s="1"/>
  <c r="U13" i="1" s="1"/>
  <c r="Y13" i="1" s="1"/>
  <c r="AB13" i="1" s="1"/>
  <c r="AD13" i="1" s="1"/>
  <c r="AF13" i="1" s="1"/>
  <c r="AH13" i="1" s="1"/>
  <c r="AJ13" i="1" s="1"/>
  <c r="G15" i="1"/>
  <c r="I15" i="1" s="1"/>
  <c r="U15" i="1" s="1"/>
  <c r="G16" i="1"/>
  <c r="I16" i="1" s="1"/>
  <c r="U16" i="1" s="1"/>
  <c r="Y16" i="1" s="1"/>
  <c r="AB16" i="1" s="1"/>
  <c r="AD16" i="1" s="1"/>
  <c r="AF16" i="1" s="1"/>
  <c r="AH16" i="1" s="1"/>
  <c r="AJ16" i="1" s="1"/>
  <c r="G9" i="1"/>
  <c r="I9" i="1" s="1"/>
  <c r="U9" i="1" s="1"/>
  <c r="G17" i="1"/>
  <c r="I17" i="1" s="1"/>
  <c r="U17" i="1" s="1"/>
  <c r="W17" i="1" s="1"/>
  <c r="G10" i="1"/>
  <c r="I10" i="1" s="1"/>
  <c r="U10" i="1" s="1"/>
  <c r="Y10" i="1" s="1"/>
  <c r="AB10" i="1" s="1"/>
  <c r="AD10" i="1" s="1"/>
  <c r="AF10" i="1" s="1"/>
  <c r="AH10" i="1" s="1"/>
  <c r="AJ10" i="1" s="1"/>
  <c r="G11" i="1"/>
  <c r="I11" i="1" s="1"/>
  <c r="U11" i="1" s="1"/>
  <c r="Y11" i="1" s="1"/>
  <c r="AB11" i="1" s="1"/>
  <c r="AD11" i="1" s="1"/>
  <c r="AF11" i="1" s="1"/>
  <c r="AH11" i="1" s="1"/>
  <c r="AJ11" i="1" s="1"/>
  <c r="G12" i="1"/>
  <c r="I12" i="1" s="1"/>
  <c r="U12" i="1" s="1"/>
  <c r="M8" i="1"/>
  <c r="N8" i="1" s="1"/>
  <c r="G8" i="1"/>
  <c r="R11" i="1"/>
  <c r="R10" i="1"/>
  <c r="R12" i="1"/>
  <c r="R13" i="1"/>
  <c r="R14" i="1"/>
  <c r="R15" i="1"/>
  <c r="R16" i="1"/>
  <c r="R9" i="1"/>
  <c r="R17" i="1"/>
  <c r="N13" i="1"/>
  <c r="O13" i="1" s="1"/>
  <c r="N15" i="1"/>
  <c r="O15" i="1" s="1"/>
  <c r="N16" i="1"/>
  <c r="O16" i="1" s="1"/>
  <c r="N9" i="1"/>
  <c r="O9" i="1" s="1"/>
  <c r="N10" i="1"/>
  <c r="O10" i="1" s="1"/>
  <c r="N12" i="1"/>
  <c r="O12" i="1" s="1"/>
  <c r="N17" i="1"/>
  <c r="O17" i="1" s="1"/>
  <c r="N11" i="1"/>
  <c r="O11" i="1" s="1"/>
  <c r="N14" i="1"/>
  <c r="O14" i="1" s="1"/>
  <c r="W16" i="1" l="1"/>
  <c r="E9" i="3"/>
  <c r="D10" i="3"/>
  <c r="W10" i="1"/>
  <c r="Y17" i="1"/>
  <c r="AB17" i="1" s="1"/>
  <c r="AD17" i="1" s="1"/>
  <c r="AF17" i="1" s="1"/>
  <c r="AH17" i="1" s="1"/>
  <c r="AJ17" i="1" s="1"/>
  <c r="Z11" i="1"/>
  <c r="Z10" i="1"/>
  <c r="C10" i="3"/>
  <c r="E10" i="3" s="1"/>
  <c r="Q12" i="2"/>
  <c r="S12" i="2" s="1"/>
  <c r="Q17" i="2"/>
  <c r="S17" i="2" s="1"/>
  <c r="Q16" i="2"/>
  <c r="S16" i="2" s="1"/>
  <c r="N11" i="2"/>
  <c r="O11" i="2"/>
  <c r="N14" i="2"/>
  <c r="O14" i="2" s="1"/>
  <c r="Y17" i="2"/>
  <c r="W17" i="2"/>
  <c r="Q8" i="2"/>
  <c r="S8" i="2" s="1"/>
  <c r="W16" i="2"/>
  <c r="Y16" i="2"/>
  <c r="N15" i="2"/>
  <c r="O15" i="2" s="1"/>
  <c r="Y14" i="2"/>
  <c r="W14" i="2"/>
  <c r="Z10" i="2"/>
  <c r="AB10" i="2"/>
  <c r="AD10" i="2" s="1"/>
  <c r="AF10" i="2" s="1"/>
  <c r="AH10" i="2" s="1"/>
  <c r="AJ10" i="2" s="1"/>
  <c r="N13" i="2"/>
  <c r="O13" i="2" s="1"/>
  <c r="AB9" i="2"/>
  <c r="AD9" i="2" s="1"/>
  <c r="AF9" i="2" s="1"/>
  <c r="AH9" i="2" s="1"/>
  <c r="AJ9" i="2" s="1"/>
  <c r="Z9" i="2"/>
  <c r="Q10" i="2"/>
  <c r="S10" i="2" s="1"/>
  <c r="Y11" i="2"/>
  <c r="W11" i="2"/>
  <c r="Q9" i="2"/>
  <c r="S9" i="2"/>
  <c r="Y13" i="2"/>
  <c r="W13" i="2"/>
  <c r="I8" i="2"/>
  <c r="D12" i="3" s="1"/>
  <c r="W12" i="2"/>
  <c r="Y12" i="2"/>
  <c r="AB15" i="2"/>
  <c r="AD15" i="2" s="1"/>
  <c r="AF15" i="2" s="1"/>
  <c r="AH15" i="2" s="1"/>
  <c r="AJ15" i="2" s="1"/>
  <c r="Z15" i="2"/>
  <c r="W9" i="1"/>
  <c r="Y9" i="1"/>
  <c r="Z16" i="1"/>
  <c r="W15" i="1"/>
  <c r="Y15" i="1"/>
  <c r="Y12" i="1"/>
  <c r="W12" i="1"/>
  <c r="W14" i="1"/>
  <c r="AB14" i="1"/>
  <c r="AD14" i="1" s="1"/>
  <c r="AF14" i="1" s="1"/>
  <c r="AH14" i="1" s="1"/>
  <c r="AJ14" i="1" s="1"/>
  <c r="Z13" i="1"/>
  <c r="W11" i="1"/>
  <c r="W13" i="1"/>
  <c r="I8" i="1"/>
  <c r="Q17" i="1"/>
  <c r="S17" i="1" s="1"/>
  <c r="Q10" i="1"/>
  <c r="S10" i="1" s="1"/>
  <c r="AK10" i="1" s="1"/>
  <c r="Q9" i="1"/>
  <c r="S9" i="1" s="1"/>
  <c r="Q16" i="1"/>
  <c r="S16" i="1" s="1"/>
  <c r="AK16" i="1" s="1"/>
  <c r="Q15" i="1"/>
  <c r="S15" i="1" s="1"/>
  <c r="Q13" i="1"/>
  <c r="S13" i="1" s="1"/>
  <c r="AK13" i="1" s="1"/>
  <c r="Q11" i="1"/>
  <c r="S11" i="1" s="1"/>
  <c r="AK11" i="1" s="1"/>
  <c r="Q14" i="1"/>
  <c r="S14" i="1" s="1"/>
  <c r="Q12" i="1"/>
  <c r="S12" i="1" s="1"/>
  <c r="O8" i="1"/>
  <c r="C12" i="3" l="1"/>
  <c r="H18" i="3" s="1"/>
  <c r="U8" i="1"/>
  <c r="Z17" i="1"/>
  <c r="AK9" i="2"/>
  <c r="I18" i="3"/>
  <c r="J18" i="3" s="1"/>
  <c r="E12" i="3"/>
  <c r="Q15" i="2"/>
  <c r="S15" i="2" s="1"/>
  <c r="AK15" i="2" s="1"/>
  <c r="Q14" i="2"/>
  <c r="S14" i="2" s="1"/>
  <c r="AK10" i="2"/>
  <c r="Z14" i="2"/>
  <c r="AB14" i="2"/>
  <c r="AD14" i="2" s="1"/>
  <c r="AF14" i="2" s="1"/>
  <c r="AH14" i="2" s="1"/>
  <c r="AJ14" i="2" s="1"/>
  <c r="AB11" i="2"/>
  <c r="AD11" i="2" s="1"/>
  <c r="AF11" i="2" s="1"/>
  <c r="AH11" i="2" s="1"/>
  <c r="AJ11" i="2" s="1"/>
  <c r="Z11" i="2"/>
  <c r="Q11" i="2"/>
  <c r="S11" i="2"/>
  <c r="Q13" i="2"/>
  <c r="S13" i="2"/>
  <c r="U8" i="2"/>
  <c r="D17" i="3" s="1"/>
  <c r="Z13" i="2"/>
  <c r="AB13" i="2"/>
  <c r="AD13" i="2" s="1"/>
  <c r="AF13" i="2" s="1"/>
  <c r="AH13" i="2" s="1"/>
  <c r="AJ13" i="2" s="1"/>
  <c r="AB17" i="2"/>
  <c r="AD17" i="2" s="1"/>
  <c r="AF17" i="2" s="1"/>
  <c r="AH17" i="2" s="1"/>
  <c r="AJ17" i="2" s="1"/>
  <c r="AK17" i="2" s="1"/>
  <c r="Z17" i="2"/>
  <c r="AB16" i="2"/>
  <c r="AD16" i="2" s="1"/>
  <c r="AF16" i="2" s="1"/>
  <c r="AH16" i="2" s="1"/>
  <c r="AJ16" i="2" s="1"/>
  <c r="AK16" i="2" s="1"/>
  <c r="Z16" i="2"/>
  <c r="AB12" i="2"/>
  <c r="AD12" i="2" s="1"/>
  <c r="AF12" i="2" s="1"/>
  <c r="AH12" i="2" s="1"/>
  <c r="AJ12" i="2" s="1"/>
  <c r="AK12" i="2" s="1"/>
  <c r="Z12" i="2"/>
  <c r="AB15" i="1"/>
  <c r="AD15" i="1" s="1"/>
  <c r="AF15" i="1" s="1"/>
  <c r="AH15" i="1" s="1"/>
  <c r="AJ15" i="1" s="1"/>
  <c r="AK15" i="1" s="1"/>
  <c r="Z15" i="1"/>
  <c r="AK14" i="1"/>
  <c r="C17" i="3"/>
  <c r="AB9" i="1"/>
  <c r="AD9" i="1" s="1"/>
  <c r="AF9" i="1" s="1"/>
  <c r="AH9" i="1" s="1"/>
  <c r="AJ9" i="1" s="1"/>
  <c r="AK9" i="1" s="1"/>
  <c r="Z9" i="1"/>
  <c r="AK17" i="1"/>
  <c r="AB12" i="1"/>
  <c r="AD12" i="1" s="1"/>
  <c r="AF12" i="1" s="1"/>
  <c r="AH12" i="1" s="1"/>
  <c r="AJ12" i="1" s="1"/>
  <c r="AK12" i="1" s="1"/>
  <c r="Z12" i="1"/>
  <c r="Q8" i="1"/>
  <c r="I8" i="3" l="1"/>
  <c r="E17" i="3"/>
  <c r="W8" i="2"/>
  <c r="Y8" i="2"/>
  <c r="D18" i="3" s="1"/>
  <c r="AK13" i="2"/>
  <c r="AK14" i="2"/>
  <c r="AK11" i="2"/>
  <c r="W8" i="1"/>
  <c r="Y8" i="1"/>
  <c r="C18" i="3" s="1"/>
  <c r="S8" i="1"/>
  <c r="E18" i="3" l="1"/>
  <c r="H8" i="3"/>
  <c r="J8" i="3" s="1"/>
  <c r="AB8" i="2"/>
  <c r="Z8" i="2"/>
  <c r="D19" i="3" s="1"/>
  <c r="AB8" i="1"/>
  <c r="Z8" i="1"/>
  <c r="C19" i="3" s="1"/>
  <c r="E19" i="3" l="1"/>
  <c r="AD8" i="2"/>
  <c r="AD8" i="1"/>
  <c r="AF8" i="2" l="1"/>
  <c r="D20" i="3" s="1"/>
  <c r="AF8" i="1"/>
  <c r="C20" i="3" s="1"/>
  <c r="H19" i="3" s="1"/>
  <c r="I19" i="3" l="1"/>
  <c r="J19" i="3" s="1"/>
  <c r="E20" i="3"/>
  <c r="AH8" i="2"/>
  <c r="D21" i="3" s="1"/>
  <c r="AH8" i="1"/>
  <c r="C21" i="3" s="1"/>
  <c r="E21" i="3" l="1"/>
  <c r="AJ8" i="2"/>
  <c r="I9" i="3" s="1"/>
  <c r="AJ8" i="1"/>
  <c r="H9" i="3" s="1"/>
  <c r="H17" i="3" l="1"/>
  <c r="H10" i="3"/>
  <c r="I17" i="3"/>
  <c r="J17" i="3" s="1"/>
  <c r="J9" i="3"/>
  <c r="I10" i="3"/>
  <c r="AK8" i="2"/>
  <c r="AK8" i="1"/>
  <c r="J1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SB</author>
  </authors>
  <commentList>
    <comment ref="F7" authorId="0" shapeId="0" xr:uid="{F7101D33-940B-C84E-9356-D2AC3FBE39F0}">
      <text>
        <r>
          <rPr>
            <sz val="10"/>
            <color rgb="FF000000"/>
            <rFont val="Tahoma"/>
            <family val="2"/>
          </rPr>
          <t>Number of drivers who subscribe to the premium offering at the end of the 15-day trial period</t>
        </r>
      </text>
    </comment>
    <comment ref="G7" authorId="0" shapeId="0" xr:uid="{2AF44CA8-1440-3A43-B6AB-6697A501F0E9}">
      <text>
        <r>
          <rPr>
            <sz val="10"/>
            <color rgb="FF000000"/>
            <rFont val="Aptos Narrow"/>
          </rPr>
          <t xml:space="preserve">Number of drivers who reach Day 15 but choose not to subscribe to the premium offering.
</t>
        </r>
      </text>
    </comment>
    <comment ref="H7" authorId="0" shapeId="0" xr:uid="{E9533EC7-9DFB-4847-915E-197D1D149D1A}">
      <text>
        <r>
          <rPr>
            <sz val="10"/>
            <color rgb="FF000000"/>
            <rFont val="Aptos Narrow"/>
            <scheme val="minor"/>
          </rPr>
          <t xml:space="preserve">Percentage of non-subscribing drivers who are still active users of the navigation app 30 days after installation.
</t>
        </r>
      </text>
    </comment>
    <comment ref="I7" authorId="0" shapeId="0" xr:uid="{E63630A6-EF92-4B49-877A-C0684E4256FC}">
      <text>
        <r>
          <rPr>
            <sz val="10"/>
            <color rgb="FF000000"/>
            <rFont val="Aptos Narrow"/>
            <scheme val="minor"/>
          </rPr>
          <t xml:space="preserve">Number of non-subscribing drivers who are still actively using the navigation app 30 days after installation.
</t>
        </r>
      </text>
    </comment>
    <comment ref="J7" authorId="0" shapeId="0" xr:uid="{09F267BA-2ED7-1E4C-96CD-64969BA01442}">
      <text>
        <r>
          <rPr>
            <sz val="10"/>
            <color rgb="FF000000"/>
            <rFont val="Aptos Narrow"/>
            <scheme val="minor"/>
          </rPr>
          <t xml:space="preserve">Percentage of active free drivers who continue using the navigation app from one month to the next after Day 30.
</t>
        </r>
      </text>
    </comment>
    <comment ref="K7" authorId="0" shapeId="0" xr:uid="{C399F9BA-7CEF-A64F-A188-8DC35FEE0600}">
      <text>
        <r>
          <rPr>
            <sz val="10"/>
            <color rgb="FF000000"/>
            <rFont val="Aptos Narrow"/>
            <scheme val="minor"/>
          </rPr>
          <t xml:space="preserve">This column estimates how many months, on average, a non-subscribing driver continues to actively use the navigation app after Day 30, assuming the lightweight freemium model where core navigation remains fully usable.
</t>
        </r>
        <r>
          <rPr>
            <sz val="10"/>
            <color rgb="FF000000"/>
            <rFont val="Tahoma"/>
            <family val="2"/>
          </rPr>
          <t xml:space="preserve">
Average lifetime (months) = 1 </t>
        </r>
        <r>
          <rPr>
            <sz val="10"/>
            <color rgb="FF000000"/>
            <rFont val="Tahoma"/>
            <family val="2"/>
          </rPr>
          <t>÷</t>
        </r>
        <r>
          <rPr>
            <sz val="10"/>
            <color rgb="FF000000"/>
            <rFont val="Tahoma"/>
            <family val="2"/>
          </rPr>
          <t xml:space="preserve"> monthly churn rate
</t>
        </r>
        <r>
          <rPr>
            <sz val="10"/>
            <color rgb="FF000000"/>
            <rFont val="Tahoma"/>
            <family val="2"/>
          </rPr>
          <t xml:space="preserve">where
</t>
        </r>
        <r>
          <rPr>
            <sz val="10"/>
            <color rgb="FF000000"/>
            <rFont val="Tahoma"/>
            <family val="2"/>
          </rPr>
          <t xml:space="preserve">monthly churn rate = 1 − monthly retention rate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 formula:
</t>
        </r>
        <r>
          <rPr>
            <sz val="10"/>
            <color rgb="FF000000"/>
            <rFont val="Tahoma"/>
            <family val="2"/>
          </rPr>
          <t xml:space="preserve">Monthly retention = 95%
</t>
        </r>
        <r>
          <rPr>
            <sz val="10"/>
            <color rgb="FF000000"/>
            <rFont val="Tahoma"/>
            <family val="2"/>
          </rPr>
          <t xml:space="preserve">Monthly churn = 5%
</t>
        </r>
        <r>
          <rPr>
            <sz val="10"/>
            <color rgb="FF000000"/>
            <rFont val="Tahoma"/>
            <family val="2"/>
          </rPr>
          <t xml:space="preserve">Avg lifetime = 1 </t>
        </r>
        <r>
          <rPr>
            <sz val="10"/>
            <color rgb="FF000000"/>
            <rFont val="Tahoma"/>
            <family val="2"/>
          </rPr>
          <t>÷</t>
        </r>
        <r>
          <rPr>
            <sz val="10"/>
            <color rgb="FF000000"/>
            <rFont val="Tahoma"/>
            <family val="2"/>
          </rPr>
          <t xml:space="preserve"> 0.05 = 20 months
</t>
        </r>
      </text>
    </comment>
    <comment ref="W7" authorId="0" shapeId="0" xr:uid="{E83A7ADC-F8F7-B242-8503-827DA88C46F0}">
      <text>
        <r>
          <rPr>
            <sz val="10"/>
            <color rgb="FF000000"/>
            <rFont val="Aptos Narrow"/>
            <scheme val="minor"/>
          </rPr>
          <t xml:space="preserve">The total number of “driver-months” during which B2B offers (fuel card, EW Office, etc.) can be shown to active free drivers.
</t>
        </r>
      </text>
    </comment>
    <comment ref="X7" authorId="0" shapeId="0" xr:uid="{D581A904-1D36-9E46-AB7D-D23148927A7A}">
      <text>
        <r>
          <rPr>
            <sz val="10"/>
            <color rgb="FF000000"/>
            <rFont val="Aptos Narrow"/>
            <scheme val="minor"/>
          </rPr>
          <t xml:space="preserve">Percentage of free active drivers who can realistically register a company, request a fuel card, or act as a decision-maker.
</t>
        </r>
      </text>
    </comment>
    <comment ref="Z7" authorId="0" shapeId="0" xr:uid="{2CFB8663-7256-8444-B05B-9E009747618A}">
      <text>
        <r>
          <rPr>
            <sz val="10"/>
            <color rgb="FF000000"/>
            <rFont val="Aptos Narrow"/>
            <scheme val="minor"/>
          </rPr>
          <t>Total number of months during which B2B-relevant drivers remain reachable for company-level offers.</t>
        </r>
      </text>
    </comment>
    <comment ref="AA7" authorId="0" shapeId="0" xr:uid="{966961B6-FFBD-D941-A79D-F84763525B60}">
      <text>
        <r>
          <rPr>
            <sz val="10"/>
            <color rgb="FF000000"/>
            <rFont val="Aptos Narrow"/>
            <scheme val="minor"/>
          </rPr>
          <t>Percentage of B2B-relevant drivers who actually see a B2B offer (e.g. in-app banner, inbox message, info wall, email).</t>
        </r>
      </text>
    </comment>
    <comment ref="AC7" authorId="0" shapeId="0" xr:uid="{60DE2559-1850-AE4C-A0A6-91D19449A4AD}">
      <text>
        <r>
          <rPr>
            <sz val="10"/>
            <color rgb="FF000000"/>
            <rFont val="Aptos Narrow"/>
            <scheme val="minor"/>
          </rPr>
          <t>Percentage of exposed drivers who click, tap, or otherwise engage with the B2B offer.</t>
        </r>
      </text>
    </comment>
    <comment ref="AD7" authorId="0" shapeId="0" xr:uid="{66D5B53D-1A9A-0E4F-98E4-EF38750B4B37}">
      <text>
        <r>
          <rPr>
            <sz val="10"/>
            <color rgb="FF000000"/>
            <rFont val="Aptos Narrow"/>
            <scheme val="minor"/>
          </rPr>
          <t xml:space="preserve">Drivers who actively show interest in a B2B offer (but have not registered yet).
</t>
        </r>
      </text>
    </comment>
    <comment ref="AE7" authorId="0" shapeId="0" xr:uid="{0DF3C787-EC37-2B4F-933C-334F1886F7B4}">
      <text>
        <r>
          <rPr>
            <sz val="10"/>
            <color rgb="FF000000"/>
            <rFont val="Aptos Narrow"/>
            <scheme val="minor"/>
          </rPr>
          <t>Percentage of engaged drivers who complete a company registration or lead submission.</t>
        </r>
      </text>
    </comment>
    <comment ref="AF7" authorId="0" shapeId="0" xr:uid="{0DFB7670-DB18-7E47-8C4E-4FC91B3B162E}">
      <text>
        <r>
          <rPr>
            <sz val="10"/>
            <color rgb="FF000000"/>
            <rFont val="Aptos Narrow"/>
            <scheme val="minor"/>
          </rPr>
          <t>Number of company-level leads generated from the free driver base.</t>
        </r>
      </text>
    </comment>
    <comment ref="AG7" authorId="0" shapeId="0" xr:uid="{79E2BD79-0C59-5547-8C9E-42967A463264}">
      <text>
        <r>
          <rPr>
            <sz val="10"/>
            <color rgb="FF000000"/>
            <rFont val="Aptos Narrow"/>
            <scheme val="minor"/>
          </rPr>
          <t>Percentage of B2B leads that successfully activate a core Eurowag product (e.g. fuel card, EW Office).</t>
        </r>
      </text>
    </comment>
    <comment ref="AH7" authorId="0" shapeId="0" xr:uid="{EFDCA6DE-54AC-C043-9654-292C0AFF03D8}">
      <text>
        <r>
          <rPr>
            <sz val="10"/>
            <color rgb="FF000000"/>
            <rFont val="Aptos Narrow"/>
            <scheme val="minor"/>
          </rPr>
          <t>Number of companies that actually become customers after lead generation.</t>
        </r>
      </text>
    </comment>
    <comment ref="AI7" authorId="0" shapeId="0" xr:uid="{9C678D6E-4DE0-4146-A34D-DEC835A47E9A}">
      <text>
        <r>
          <rPr>
            <sz val="10"/>
            <color rgb="FF000000"/>
            <rFont val="Aptos Narrow"/>
            <scheme val="minor"/>
          </rPr>
          <t>Average net annual value generated by one activated B2B customer across Eurowag products (fuel card, Office, services).</t>
        </r>
      </text>
    </comment>
    <comment ref="AJ7" authorId="0" shapeId="0" xr:uid="{2E24E71B-22C3-0F4D-A8C2-3C814FA88F31}">
      <text>
        <r>
          <rPr>
            <sz val="10"/>
            <color rgb="FF000000"/>
            <rFont val="Aptos Narrow"/>
            <scheme val="minor"/>
          </rPr>
          <t>Annual revenue generated from B2B customers sourced via free drivers.</t>
        </r>
      </text>
    </comment>
    <comment ref="AK7" authorId="0" shapeId="0" xr:uid="{C48ADD08-1B01-404D-9733-6F7463279BB0}">
      <text>
        <r>
          <rPr>
            <sz val="10"/>
            <color rgb="FF000000"/>
            <rFont val="Aptos Narrow"/>
            <scheme val="minor"/>
          </rPr>
          <t>How much B2B value is generated for every €1 of subscription revenue.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SB</author>
  </authors>
  <commentList>
    <comment ref="F7" authorId="0" shapeId="0" xr:uid="{7300D56E-A5A6-A649-A68D-461438E479D9}">
      <text>
        <r>
          <rPr>
            <sz val="10"/>
            <color rgb="FF000000"/>
            <rFont val="Tahoma"/>
            <family val="2"/>
          </rPr>
          <t>Number of drivers who subscribe to the premium offering at the end of the 15-day trial period</t>
        </r>
      </text>
    </comment>
    <comment ref="G7" authorId="0" shapeId="0" xr:uid="{14ECEA0A-8172-0344-9E1B-33A839E6AC5C}">
      <text>
        <r>
          <rPr>
            <sz val="10"/>
            <color rgb="FF000000"/>
            <rFont val="Aptos Narrow"/>
          </rPr>
          <t xml:space="preserve">Number of drivers who reach Day 15 but choose not to subscribe to the premium offering.
</t>
        </r>
      </text>
    </comment>
    <comment ref="H7" authorId="0" shapeId="0" xr:uid="{A06172DA-4C6B-554B-AC69-7CEB353BFD98}">
      <text>
        <r>
          <rPr>
            <sz val="10"/>
            <color rgb="FF000000"/>
            <rFont val="Aptos Narrow"/>
          </rPr>
          <t xml:space="preserve">Percentage of non-subscribing drivers who are still active users of the navigation app 30 days after installation.
</t>
        </r>
      </text>
    </comment>
    <comment ref="I7" authorId="0" shapeId="0" xr:uid="{CC146C08-4D78-7048-9D40-44EDB6276AA7}">
      <text>
        <r>
          <rPr>
            <sz val="10"/>
            <color rgb="FF000000"/>
            <rFont val="Aptos Narrow"/>
          </rPr>
          <t xml:space="preserve">Number of non-subscribing drivers who are still actively using the navigation app 30 days after installation.
</t>
        </r>
      </text>
    </comment>
    <comment ref="J7" authorId="0" shapeId="0" xr:uid="{99329D5F-A13E-BA46-BBE5-34089D097072}">
      <text>
        <r>
          <rPr>
            <sz val="10"/>
            <color rgb="FF000000"/>
            <rFont val="Aptos Narrow"/>
          </rPr>
          <t xml:space="preserve">Percentage of active free drivers who continue using the navigation app from one month to the next after Day 30.
</t>
        </r>
      </text>
    </comment>
    <comment ref="K7" authorId="0" shapeId="0" xr:uid="{89AEC1FF-91D9-E64B-8014-89D0C552750A}">
      <text>
        <r>
          <rPr>
            <sz val="10"/>
            <color rgb="FF000000"/>
            <rFont val="Aptos Narrow"/>
          </rPr>
          <t xml:space="preserve">This column estimates how many months, on average, a non-subscribing driver continues to actively use the navigation app after Day 30, assuming the Hard Paywall model where core navigation remains fully usable.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Average lifetime (months) = 1 </t>
        </r>
        <r>
          <rPr>
            <sz val="10"/>
            <color rgb="FF000000"/>
            <rFont val="Tahoma"/>
            <family val="2"/>
          </rPr>
          <t>÷</t>
        </r>
        <r>
          <rPr>
            <sz val="10"/>
            <color rgb="FF000000"/>
            <rFont val="Tahoma"/>
            <family val="2"/>
          </rPr>
          <t xml:space="preserve"> monthly churn rate
</t>
        </r>
        <r>
          <rPr>
            <sz val="10"/>
            <color rgb="FF000000"/>
            <rFont val="Tahoma"/>
            <family val="2"/>
          </rPr>
          <t xml:space="preserve">where
</t>
        </r>
        <r>
          <rPr>
            <sz val="10"/>
            <color rgb="FF000000"/>
            <rFont val="Tahoma"/>
            <family val="2"/>
          </rPr>
          <t xml:space="preserve">monthly churn rate = 1 − monthly retention rate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 formula:
</t>
        </r>
        <r>
          <rPr>
            <sz val="10"/>
            <color rgb="FF000000"/>
            <rFont val="Tahoma"/>
            <family val="2"/>
          </rPr>
          <t xml:space="preserve">Monthly retention = 50%
</t>
        </r>
        <r>
          <rPr>
            <sz val="10"/>
            <color rgb="FF000000"/>
            <rFont val="Tahoma"/>
            <family val="2"/>
          </rPr>
          <t xml:space="preserve">Monthly churn = 50%
</t>
        </r>
        <r>
          <rPr>
            <sz val="10"/>
            <color rgb="FF000000"/>
            <rFont val="Tahoma"/>
            <family val="2"/>
          </rPr>
          <t xml:space="preserve">Avg lifetime = 1 </t>
        </r>
        <r>
          <rPr>
            <sz val="10"/>
            <color rgb="FF000000"/>
            <rFont val="Tahoma"/>
            <family val="2"/>
          </rPr>
          <t>÷</t>
        </r>
        <r>
          <rPr>
            <sz val="10"/>
            <color rgb="FF000000"/>
            <rFont val="Tahoma"/>
            <family val="2"/>
          </rPr>
          <t xml:space="preserve"> 0.5 = 2 months
</t>
        </r>
      </text>
    </comment>
    <comment ref="W7" authorId="0" shapeId="0" xr:uid="{821EFC1A-633D-CD4E-B379-409D06049BD4}">
      <text>
        <r>
          <rPr>
            <sz val="10"/>
            <color rgb="FF000000"/>
            <rFont val="Aptos Narrow"/>
          </rPr>
          <t xml:space="preserve">The total number of “driver-months” during which B2B offers (fuel card, EW Office, etc.) can be shown to active free drivers.
</t>
        </r>
      </text>
    </comment>
    <comment ref="X7" authorId="0" shapeId="0" xr:uid="{ED40B29B-1FC0-3C4B-B4E1-CFCCA44258FD}">
      <text>
        <r>
          <rPr>
            <sz val="10"/>
            <color rgb="FF000000"/>
            <rFont val="Aptos Narrow"/>
          </rPr>
          <t xml:space="preserve">Percentage of free active drivers who can realistically register a company, request a fuel card, or act as a decision-maker.
</t>
        </r>
      </text>
    </comment>
    <comment ref="Z7" authorId="0" shapeId="0" xr:uid="{A2B8071E-C28C-2440-91C2-AB6EBE43473D}">
      <text>
        <r>
          <rPr>
            <sz val="10"/>
            <color rgb="FF000000"/>
            <rFont val="Aptos Narrow"/>
          </rPr>
          <t>Total number of months during which B2B-relevant drivers remain reachable for company-level offers.</t>
        </r>
      </text>
    </comment>
    <comment ref="AA7" authorId="0" shapeId="0" xr:uid="{9FA91158-3B2A-FC4F-A62F-6C44FFCDDF0A}">
      <text>
        <r>
          <rPr>
            <sz val="10"/>
            <color rgb="FF000000"/>
            <rFont val="Aptos Narrow"/>
            <scheme val="minor"/>
          </rPr>
          <t>Percentage of B2B-relevant drivers who actually see a B2B offer (e.g. in-app banner, inbox message, info wall, email).</t>
        </r>
      </text>
    </comment>
    <comment ref="AC7" authorId="0" shapeId="0" xr:uid="{6219E4D1-0785-6E4B-A248-D61F8EE9A88D}">
      <text>
        <r>
          <rPr>
            <sz val="10"/>
            <color rgb="FF000000"/>
            <rFont val="Aptos Narrow"/>
            <scheme val="minor"/>
          </rPr>
          <t>Percentage of exposed drivers who click, tap, or otherwise engage with the B2B offer.</t>
        </r>
      </text>
    </comment>
    <comment ref="AD7" authorId="0" shapeId="0" xr:uid="{A16BBC9D-701E-6943-A15B-12C6036C1AAE}">
      <text>
        <r>
          <rPr>
            <sz val="10"/>
            <color rgb="FF000000"/>
            <rFont val="Aptos Narrow"/>
            <scheme val="minor"/>
          </rPr>
          <t xml:space="preserve">Drivers who actively show interest in a B2B offer (but have not registered yet).
</t>
        </r>
      </text>
    </comment>
    <comment ref="AE7" authorId="0" shapeId="0" xr:uid="{9F4C0B92-42C4-3444-9232-37C7DF831D59}">
      <text>
        <r>
          <rPr>
            <sz val="10"/>
            <color rgb="FF000000"/>
            <rFont val="Aptos Narrow"/>
            <scheme val="minor"/>
          </rPr>
          <t>Percentage of engaged drivers who complete a company registration or lead submission.</t>
        </r>
      </text>
    </comment>
    <comment ref="AF7" authorId="0" shapeId="0" xr:uid="{439CA00B-BB44-6841-906F-D250098CF492}">
      <text>
        <r>
          <rPr>
            <sz val="10"/>
            <color rgb="FF000000"/>
            <rFont val="Aptos Narrow"/>
            <scheme val="minor"/>
          </rPr>
          <t>Number of company-level leads generated from the free driver base.</t>
        </r>
      </text>
    </comment>
    <comment ref="AG7" authorId="0" shapeId="0" xr:uid="{9B78F126-225C-3A42-977F-F80A518EDEFA}">
      <text>
        <r>
          <rPr>
            <sz val="10"/>
            <color rgb="FF000000"/>
            <rFont val="Aptos Narrow"/>
            <scheme val="minor"/>
          </rPr>
          <t>Percentage of B2B leads that successfully activate a core Eurowag product (e.g. fuel card, EW Office).</t>
        </r>
      </text>
    </comment>
    <comment ref="AH7" authorId="0" shapeId="0" xr:uid="{A4283DA2-1AE8-2447-8A18-6D2C9CBD0487}">
      <text>
        <r>
          <rPr>
            <sz val="10"/>
            <color rgb="FF000000"/>
            <rFont val="Aptos Narrow"/>
            <scheme val="minor"/>
          </rPr>
          <t>Number of companies that actually become customers after lead generation.</t>
        </r>
      </text>
    </comment>
    <comment ref="AI7" authorId="0" shapeId="0" xr:uid="{FB49FCD8-4761-E541-AB54-771E4A1867ED}">
      <text>
        <r>
          <rPr>
            <sz val="10"/>
            <color rgb="FF000000"/>
            <rFont val="Aptos Narrow"/>
            <scheme val="minor"/>
          </rPr>
          <t>Average net annual value generated by one activated B2B customer across Eurowag products (fuel card, Office, services).</t>
        </r>
      </text>
    </comment>
    <comment ref="AJ7" authorId="0" shapeId="0" xr:uid="{4C333BF0-E251-9440-98B3-3FA653DD751B}">
      <text>
        <r>
          <rPr>
            <sz val="10"/>
            <color rgb="FF000000"/>
            <rFont val="Aptos Narrow"/>
            <scheme val="minor"/>
          </rPr>
          <t>Annual revenue generated from B2B customers sourced via free drivers.</t>
        </r>
      </text>
    </comment>
    <comment ref="AK7" authorId="0" shapeId="0" xr:uid="{B4D53C0E-BBAE-A84F-B9FE-FE80729FEE84}">
      <text>
        <r>
          <rPr>
            <sz val="10"/>
            <color rgb="FF000000"/>
            <rFont val="Aptos Narrow"/>
            <scheme val="minor"/>
          </rPr>
          <t>How much B2B value is generated for every €1 of subscription revenue.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SB</author>
  </authors>
  <commentList>
    <comment ref="G17" authorId="0" shapeId="0" xr:uid="{3A8DD394-2D11-7340-A7EF-7AF2397B8942}">
      <text>
        <r>
          <rPr>
            <sz val="10"/>
            <color rgb="FF000000"/>
            <rFont val="Aptos Narrow"/>
            <scheme val="minor"/>
          </rPr>
          <t>how much B2B revenue is generated for every €1 of subscription revenue</t>
        </r>
      </text>
    </comment>
    <comment ref="G18" authorId="0" shapeId="0" xr:uid="{7163057D-7D1B-DC4F-9CAD-85F33795F06C}">
      <text>
        <r>
          <rPr>
            <sz val="10"/>
            <color rgb="FF000000"/>
            <rFont val="Aptos Narrow"/>
            <scheme val="minor"/>
          </rPr>
          <t xml:space="preserve">how many active free drivers remain in the ecosystem for every subscribing user.
</t>
        </r>
        <r>
          <rPr>
            <sz val="10"/>
            <color rgb="FF000000"/>
            <rFont val="Aptos Narrow"/>
            <scheme val="minor"/>
          </rPr>
          <t xml:space="preserve">Total Active Free Users D30 / Total Subscribers at D15
</t>
        </r>
      </text>
    </comment>
    <comment ref="G19" authorId="0" shapeId="0" xr:uid="{994AB394-F45E-354D-8E6F-12902D7E341D}">
      <text>
        <r>
          <rPr>
            <sz val="10"/>
            <color rgb="FF000000"/>
            <rFont val="Aptos Narrow"/>
            <scheme val="minor"/>
          </rPr>
          <t xml:space="preserve">how many B2B company leads are generated for every 1,000 active drivers.
</t>
        </r>
        <r>
          <rPr>
            <sz val="10"/>
            <color rgb="FF000000"/>
            <rFont val="Aptos Narrow"/>
            <scheme val="minor"/>
          </rPr>
          <t xml:space="preserve">(Total B2B Leads Generated / Total Active Users at D15) </t>
        </r>
        <r>
          <rPr>
            <sz val="10"/>
            <color rgb="FF000000"/>
            <rFont val="Aptos Narrow"/>
            <scheme val="minor"/>
          </rPr>
          <t>×</t>
        </r>
        <r>
          <rPr>
            <sz val="10"/>
            <color rgb="FF000000"/>
            <rFont val="Aptos Narrow"/>
            <scheme val="minor"/>
          </rPr>
          <t xml:space="preserve"> 1,000
</t>
        </r>
      </text>
    </comment>
  </commentList>
</comments>
</file>

<file path=xl/sharedStrings.xml><?xml version="1.0" encoding="utf-8"?>
<sst xmlns="http://schemas.openxmlformats.org/spreadsheetml/2006/main" count="134" uniqueCount="70">
  <si>
    <t>Country</t>
  </si>
  <si>
    <t>Active Users D15</t>
  </si>
  <si>
    <t>Gross Revenue (€)</t>
  </si>
  <si>
    <t>Net Rev Pre-VAT (€)</t>
  </si>
  <si>
    <t>Net Revenue (€)</t>
  </si>
  <si>
    <t>PL</t>
  </si>
  <si>
    <t>FR</t>
  </si>
  <si>
    <t>GB</t>
  </si>
  <si>
    <t>DE</t>
  </si>
  <si>
    <t>IT</t>
  </si>
  <si>
    <t>UA</t>
  </si>
  <si>
    <t>ES</t>
  </si>
  <si>
    <t>CZ</t>
  </si>
  <si>
    <t>RO</t>
  </si>
  <si>
    <t>HU</t>
  </si>
  <si>
    <t>% CR</t>
  </si>
  <si>
    <t>% VAT</t>
  </si>
  <si>
    <t>TTM Cost</t>
  </si>
  <si>
    <t>Non-Subscribers at D15</t>
  </si>
  <si>
    <t>Active Free Users D30</t>
  </si>
  <si>
    <t>Monthly Retention % (Free Users)</t>
  </si>
  <si>
    <t>Avg Free User Lifetime (Months)</t>
  </si>
  <si>
    <t>D30 Retention % (Free - Lightweight)</t>
  </si>
  <si>
    <t>Avg Free User Lifetime (Months – Lightweight)</t>
  </si>
  <si>
    <t>Subscribers at D15</t>
  </si>
  <si>
    <t>User Conversion &amp; Retention Dynamics</t>
  </si>
  <si>
    <t>Subscription price (Yearly)</t>
  </si>
  <si>
    <t>Avg Reachable Lifetime (Months)</t>
  </si>
  <si>
    <t>Total Free-User Months Available</t>
  </si>
  <si>
    <t>% Drivers Eligible for B2B (Company / Owner-Drivers)</t>
  </si>
  <si>
    <t>B2B-Relevant Free Users</t>
  </si>
  <si>
    <t>Free Users Eligible for B2B Outreach</t>
  </si>
  <si>
    <t>Total B2B-Relevant Driver-Months</t>
  </si>
  <si>
    <t>% B2B Users Exposed to Offer</t>
  </si>
  <si>
    <t>B2B Users Exposed to Offer</t>
  </si>
  <si>
    <t>B2B Offer Engagement Rate</t>
  </si>
  <si>
    <t>Engaged B2B Users</t>
  </si>
  <si>
    <t>Company Registration Rate</t>
  </si>
  <si>
    <t>B2B Leads Generated</t>
  </si>
  <si>
    <t>B2B Customer Activation Rate</t>
  </si>
  <si>
    <t>Activated B2B Customers</t>
  </si>
  <si>
    <t>Avg Annual Value per B2B Customer (€)</t>
  </si>
  <si>
    <t>Annual B2B Revenue Generated (€)</t>
  </si>
  <si>
    <t>B2B Revenue vs Subscription Revenue Ratio</t>
  </si>
  <si>
    <t>VAT (€) Cost</t>
  </si>
  <si>
    <t>App Store Fee (€) Cost</t>
  </si>
  <si>
    <t>Revenue &amp; Cost Breakdown</t>
  </si>
  <si>
    <t>Free User Monetisation Potential (B2B EW Office)</t>
  </si>
  <si>
    <t>Monthly Retention % (Hard Paywall)</t>
  </si>
  <si>
    <t>D30 Retention % (Hard Paywall)</t>
  </si>
  <si>
    <t>Avg Free User Lifetime (Months – Hard Paywall)</t>
  </si>
  <si>
    <t>Metric</t>
  </si>
  <si>
    <t>Delta (Hard – Light)</t>
  </si>
  <si>
    <t>Active Users at D15</t>
  </si>
  <si>
    <t>D30 Retention (Free Users)</t>
  </si>
  <si>
    <t>User Behaviour &amp; Retention</t>
  </si>
  <si>
    <t>B2B Reach &amp; Lead Generation</t>
  </si>
  <si>
    <t>Year-1 Subscription Net Revenue (€)</t>
  </si>
  <si>
    <t>Annual B2B Revenue (€)</t>
  </si>
  <si>
    <t>Total Annual Value (€)</t>
  </si>
  <si>
    <t>B2B Revenue / Subscription Revenue</t>
  </si>
  <si>
    <t>Free Users per Subscriber</t>
  </si>
  <si>
    <t>B2B Leads per 1,000 Active Users</t>
  </si>
  <si>
    <t>Efficiency &amp; Strategic Ratios</t>
  </si>
  <si>
    <t>Light</t>
  </si>
  <si>
    <t>Hard</t>
  </si>
  <si>
    <t>Monetisation Outcomes</t>
  </si>
  <si>
    <t>EW Navigation Product - Lightweight Freemium vs Hard Paywall (Summary)</t>
  </si>
  <si>
    <t>EW Navigation Product - Monetisation Impact Model for Lightweight Freemium</t>
  </si>
  <si>
    <t>EW Navigation Product - Monetisation Impact Model for Hard Paywall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</si>
</sst>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[$€-2]\ * #,##0.00_);_([$€-2]\ * \(#,##0.00\);_([$€-2]\ * &quot;-&quot;??_);_(@_)"/>
    <numFmt numFmtId="165" formatCode="0.0%"/>
    <numFmt numFmtId="166" formatCode="_([$€-2]\ * #,##0_);_([$€-2]\ * \(#,##0\);_([$€-2]\ * &quot;-&quot;??_);_(@_)"/>
    <numFmt numFmtId="167" formatCode="0.00000"/>
    <numFmt numFmtId="168" formatCode="_(* #,##0_);_(* \(#,##0\);_(* &quot;-&quot;??_);_(@_)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sz val="10"/>
      <color rgb="FF000000"/>
      <name val="Aptos Narrow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2"/>
      <color rgb="FF002060"/>
      <name val="Arial"/>
      <family val="2"/>
    </font>
    <font>
      <sz val="12"/>
      <color rgb="FF002060"/>
      <name val="Arial"/>
      <family val="2"/>
    </font>
    <font>
      <sz val="10"/>
      <color rgb="FF000000"/>
      <name val="Aptos Narrow"/>
    </font>
    <font>
      <sz val="12"/>
      <color rgb="FFC00000"/>
      <name val="Arial"/>
      <family val="2"/>
    </font>
    <font>
      <sz val="12"/>
      <color theme="0"/>
      <name val="Arial"/>
      <family val="2"/>
    </font>
    <font>
      <b/>
      <sz val="18"/>
      <color rgb="FF00206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4" fillId="2" borderId="0" xfId="0" applyFont="1" applyFill="1"/>
    <xf numFmtId="9" fontId="4" fillId="2" borderId="0" xfId="0" applyNumberFormat="1" applyFont="1" applyFill="1"/>
    <xf numFmtId="166" fontId="4" fillId="2" borderId="0" xfId="0" applyNumberFormat="1" applyFont="1" applyFill="1"/>
    <xf numFmtId="9" fontId="4" fillId="2" borderId="0" xfId="2" applyFont="1" applyFill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7" fillId="2" borderId="0" xfId="0" applyFont="1" applyFill="1"/>
    <xf numFmtId="1" fontId="7" fillId="2" borderId="0" xfId="0" applyNumberFormat="1" applyFont="1" applyFill="1"/>
    <xf numFmtId="0" fontId="8" fillId="2" borderId="0" xfId="0" applyFont="1" applyFill="1"/>
    <xf numFmtId="166" fontId="7" fillId="2" borderId="0" xfId="0" applyNumberFormat="1" applyFont="1" applyFill="1"/>
    <xf numFmtId="0" fontId="8" fillId="4" borderId="0" xfId="0" applyFont="1" applyFill="1"/>
    <xf numFmtId="165" fontId="8" fillId="4" borderId="0" xfId="0" applyNumberFormat="1" applyFont="1" applyFill="1"/>
    <xf numFmtId="1" fontId="8" fillId="4" borderId="0" xfId="0" applyNumberFormat="1" applyFont="1" applyFill="1"/>
    <xf numFmtId="9" fontId="8" fillId="4" borderId="0" xfId="0" applyNumberFormat="1" applyFont="1" applyFill="1"/>
    <xf numFmtId="9" fontId="8" fillId="4" borderId="0" xfId="2" applyFont="1" applyFill="1"/>
    <xf numFmtId="166" fontId="8" fillId="4" borderId="0" xfId="0" applyNumberFormat="1" applyFont="1" applyFill="1"/>
    <xf numFmtId="164" fontId="8" fillId="4" borderId="0" xfId="0" applyNumberFormat="1" applyFont="1" applyFill="1"/>
    <xf numFmtId="164" fontId="8" fillId="2" borderId="0" xfId="0" applyNumberFormat="1" applyFont="1" applyFill="1"/>
    <xf numFmtId="2" fontId="8" fillId="4" borderId="0" xfId="0" applyNumberFormat="1" applyFont="1" applyFill="1"/>
    <xf numFmtId="9" fontId="10" fillId="4" borderId="0" xfId="0" applyNumberFormat="1" applyFont="1" applyFill="1"/>
    <xf numFmtId="9" fontId="10" fillId="4" borderId="0" xfId="2" applyFont="1" applyFill="1"/>
    <xf numFmtId="0" fontId="12" fillId="2" borderId="0" xfId="0" applyFont="1" applyFill="1"/>
    <xf numFmtId="43" fontId="8" fillId="4" borderId="0" xfId="1" applyFont="1" applyFill="1"/>
    <xf numFmtId="168" fontId="8" fillId="4" borderId="0" xfId="1" applyNumberFormat="1" applyFont="1" applyFill="1"/>
    <xf numFmtId="0" fontId="13" fillId="2" borderId="0" xfId="0" applyFont="1" applyFill="1"/>
    <xf numFmtId="0" fontId="14" fillId="2" borderId="0" xfId="0" applyFont="1" applyFill="1"/>
    <xf numFmtId="0" fontId="7" fillId="4" borderId="0" xfId="0" applyFont="1" applyFill="1"/>
    <xf numFmtId="167" fontId="8" fillId="4" borderId="0" xfId="0" applyNumberFormat="1" applyFont="1" applyFill="1"/>
    <xf numFmtId="0" fontId="5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F090-73D1-F44B-B577-488E6627BF85}">
  <dimension ref="B3:AM19"/>
  <sheetViews>
    <sheetView tabSelected="1" zoomScale="76" zoomScaleNormal="76" workbookViewId="0">
      <selection activeCell="A14" sqref="A14:XFD14"/>
    </sheetView>
  </sheetViews>
  <sheetFormatPr baseColWidth="10" defaultRowHeight="16" x14ac:dyDescent="0.2"/>
  <cols>
    <col min="1" max="1" width="2.6640625" style="1" customWidth="1"/>
    <col min="2" max="2" width="12" style="1" customWidth="1"/>
    <col min="3" max="3" width="15.1640625" style="1" bestFit="1" customWidth="1"/>
    <col min="4" max="4" width="0.83203125" style="1" customWidth="1"/>
    <col min="5" max="5" width="6" style="1" customWidth="1"/>
    <col min="6" max="6" width="6.5" style="1" customWidth="1"/>
    <col min="7" max="7" width="10.33203125" style="1" customWidth="1"/>
    <col min="8" max="8" width="7" style="1" customWidth="1"/>
    <col min="9" max="9" width="8.6640625" style="1" customWidth="1"/>
    <col min="10" max="10" width="9" style="1" customWidth="1"/>
    <col min="11" max="11" width="8.1640625" style="1" customWidth="1"/>
    <col min="12" max="12" width="0.83203125" style="1" customWidth="1"/>
    <col min="13" max="13" width="13.1640625" style="1" customWidth="1"/>
    <col min="14" max="14" width="15.1640625" style="1" bestFit="1" customWidth="1"/>
    <col min="15" max="15" width="17.1640625" style="1" bestFit="1" customWidth="1"/>
    <col min="16" max="16" width="7.33203125" style="1" customWidth="1"/>
    <col min="17" max="17" width="14" style="1" customWidth="1"/>
    <col min="18" max="18" width="13.33203125" style="1" customWidth="1"/>
    <col min="19" max="19" width="16.6640625" style="1" customWidth="1"/>
    <col min="20" max="20" width="0.83203125" style="1" customWidth="1"/>
    <col min="21" max="21" width="10" style="1" customWidth="1"/>
    <col min="22" max="22" width="7.5" style="1" customWidth="1"/>
    <col min="23" max="23" width="11.5" style="1" customWidth="1"/>
    <col min="24" max="24" width="7" style="1" customWidth="1"/>
    <col min="25" max="25" width="7.83203125" style="1" customWidth="1"/>
    <col min="26" max="26" width="10.83203125" style="1" customWidth="1"/>
    <col min="27" max="27" width="6.6640625" style="1" customWidth="1"/>
    <col min="28" max="28" width="7.5" style="1" customWidth="1"/>
    <col min="29" max="29" width="7" style="1" customWidth="1"/>
    <col min="30" max="30" width="6.6640625" style="1" customWidth="1"/>
    <col min="31" max="31" width="7" style="1" customWidth="1"/>
    <col min="32" max="32" width="5.33203125" style="1" customWidth="1"/>
    <col min="33" max="33" width="5.83203125" style="1" customWidth="1"/>
    <col min="34" max="34" width="4.83203125" style="1" customWidth="1"/>
    <col min="35" max="35" width="7.6640625" style="1" customWidth="1"/>
    <col min="36" max="36" width="14.83203125" style="1" customWidth="1"/>
    <col min="37" max="37" width="8.33203125" style="1" customWidth="1"/>
    <col min="38" max="38" width="10.83203125" style="1"/>
    <col min="39" max="39" width="11.33203125" style="1" bestFit="1" customWidth="1"/>
    <col min="40" max="16384" width="10.83203125" style="1"/>
  </cols>
  <sheetData>
    <row r="3" spans="2:37" ht="23" x14ac:dyDescent="0.25">
      <c r="B3" s="23" t="s">
        <v>68</v>
      </c>
    </row>
    <row r="4" spans="2:37" x14ac:dyDescent="0.2">
      <c r="B4" s="10" t="s">
        <v>26</v>
      </c>
      <c r="C4" s="19">
        <v>69.989999999999995</v>
      </c>
      <c r="E4" s="2"/>
      <c r="F4" s="2"/>
      <c r="G4" s="2"/>
      <c r="H4" s="2"/>
      <c r="I4" s="2"/>
      <c r="J4" s="2"/>
      <c r="K4" s="2"/>
      <c r="M4" s="2"/>
      <c r="N4" s="2"/>
      <c r="O4" s="2"/>
      <c r="P4" s="2"/>
      <c r="Q4" s="2"/>
      <c r="R4" s="2"/>
      <c r="S4" s="2"/>
    </row>
    <row r="5" spans="2:37" x14ac:dyDescent="0.2">
      <c r="B5" s="2"/>
      <c r="C5" s="2"/>
      <c r="E5" s="2"/>
      <c r="F5" s="2"/>
      <c r="G5" s="2"/>
      <c r="H5" s="2"/>
      <c r="I5" s="2"/>
      <c r="J5" s="2"/>
      <c r="K5" s="2"/>
      <c r="M5" s="2"/>
      <c r="N5" s="2"/>
      <c r="O5" s="2"/>
      <c r="P5" s="2"/>
      <c r="Q5" s="2"/>
      <c r="R5" s="2"/>
      <c r="S5" s="2"/>
    </row>
    <row r="6" spans="2:37" x14ac:dyDescent="0.2">
      <c r="B6" s="2"/>
      <c r="C6" s="2"/>
      <c r="E6" s="30" t="s">
        <v>25</v>
      </c>
      <c r="F6" s="30"/>
      <c r="G6" s="30"/>
      <c r="H6" s="30"/>
      <c r="I6" s="30"/>
      <c r="J6" s="30"/>
      <c r="K6" s="30"/>
      <c r="M6" s="30" t="s">
        <v>46</v>
      </c>
      <c r="N6" s="30"/>
      <c r="O6" s="30"/>
      <c r="P6" s="30"/>
      <c r="Q6" s="30"/>
      <c r="R6" s="30"/>
      <c r="S6" s="30"/>
      <c r="U6" s="30" t="s">
        <v>47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</row>
    <row r="7" spans="2:37" x14ac:dyDescent="0.2">
      <c r="B7" s="6" t="s">
        <v>0</v>
      </c>
      <c r="C7" s="6" t="s">
        <v>1</v>
      </c>
      <c r="E7" s="6" t="s">
        <v>15</v>
      </c>
      <c r="F7" s="6" t="s">
        <v>24</v>
      </c>
      <c r="G7" s="6" t="s">
        <v>18</v>
      </c>
      <c r="H7" s="6" t="s">
        <v>22</v>
      </c>
      <c r="I7" s="6" t="s">
        <v>19</v>
      </c>
      <c r="J7" s="6" t="s">
        <v>20</v>
      </c>
      <c r="K7" s="6" t="s">
        <v>23</v>
      </c>
      <c r="M7" s="7" t="s">
        <v>2</v>
      </c>
      <c r="N7" s="7" t="s">
        <v>45</v>
      </c>
      <c r="O7" s="7" t="s">
        <v>3</v>
      </c>
      <c r="P7" s="7" t="s">
        <v>16</v>
      </c>
      <c r="Q7" s="7" t="s">
        <v>44</v>
      </c>
      <c r="R7" s="7" t="s">
        <v>17</v>
      </c>
      <c r="S7" s="7" t="s">
        <v>4</v>
      </c>
      <c r="U7" s="7" t="s">
        <v>31</v>
      </c>
      <c r="V7" s="7" t="s">
        <v>27</v>
      </c>
      <c r="W7" s="7" t="s">
        <v>28</v>
      </c>
      <c r="X7" s="7" t="s">
        <v>29</v>
      </c>
      <c r="Y7" s="7" t="s">
        <v>30</v>
      </c>
      <c r="Z7" s="7" t="s">
        <v>32</v>
      </c>
      <c r="AA7" s="7" t="s">
        <v>33</v>
      </c>
      <c r="AB7" s="7" t="s">
        <v>34</v>
      </c>
      <c r="AC7" s="7" t="s">
        <v>35</v>
      </c>
      <c r="AD7" s="7" t="s">
        <v>36</v>
      </c>
      <c r="AE7" s="7" t="s">
        <v>37</v>
      </c>
      <c r="AF7" s="7" t="s">
        <v>38</v>
      </c>
      <c r="AG7" s="7" t="s">
        <v>39</v>
      </c>
      <c r="AH7" s="7" t="s">
        <v>40</v>
      </c>
      <c r="AI7" s="7" t="s">
        <v>41</v>
      </c>
      <c r="AJ7" s="7" t="s">
        <v>42</v>
      </c>
      <c r="AK7" s="7" t="s">
        <v>43</v>
      </c>
    </row>
    <row r="8" spans="2:37" x14ac:dyDescent="0.2">
      <c r="B8" s="12" t="s">
        <v>5</v>
      </c>
      <c r="C8" s="12">
        <v>44869</v>
      </c>
      <c r="E8" s="13">
        <v>3.5000000000000003E-2</v>
      </c>
      <c r="F8" s="14">
        <f t="shared" ref="F8:F17" si="0">C8*E8</f>
        <v>1570.4150000000002</v>
      </c>
      <c r="G8" s="25">
        <f t="shared" ref="G8:G17" si="1">C8-F8</f>
        <v>43298.584999999999</v>
      </c>
      <c r="H8" s="15">
        <v>0.7</v>
      </c>
      <c r="I8" s="25">
        <f>G8*H8</f>
        <v>30309.009499999996</v>
      </c>
      <c r="J8" s="16">
        <v>0.95</v>
      </c>
      <c r="K8" s="14">
        <f>1/(1-J8)</f>
        <v>19.999999999999982</v>
      </c>
      <c r="M8" s="17">
        <f t="shared" ref="M8:M17" si="2">F8*C$4</f>
        <v>109913.34585000001</v>
      </c>
      <c r="N8" s="18">
        <f>M8*30%</f>
        <v>32974.003755000005</v>
      </c>
      <c r="O8" s="18">
        <f>M8-N8</f>
        <v>76939.342095</v>
      </c>
      <c r="P8" s="16">
        <v>0.23</v>
      </c>
      <c r="Q8" s="18">
        <f>O8*P8</f>
        <v>17696.048681849999</v>
      </c>
      <c r="R8" s="18">
        <f>F8*4</f>
        <v>6281.6600000000008</v>
      </c>
      <c r="S8" s="18">
        <f>O8-Q8-R8</f>
        <v>52961.633413149997</v>
      </c>
      <c r="U8" s="25">
        <f>I8</f>
        <v>30309.009499999996</v>
      </c>
      <c r="V8" s="14">
        <f>K8</f>
        <v>19.999999999999982</v>
      </c>
      <c r="W8" s="25">
        <f>U8*V8</f>
        <v>606180.18999999936</v>
      </c>
      <c r="X8" s="15">
        <v>0.3</v>
      </c>
      <c r="Y8" s="25">
        <f>U8*X8</f>
        <v>9092.7028499999979</v>
      </c>
      <c r="Z8" s="25">
        <f>Y8*V8</f>
        <v>181854.0569999998</v>
      </c>
      <c r="AA8" s="15">
        <v>0.5</v>
      </c>
      <c r="AB8" s="25">
        <f>Y8*AA8</f>
        <v>4546.3514249999989</v>
      </c>
      <c r="AC8" s="15">
        <v>0.1</v>
      </c>
      <c r="AD8" s="14">
        <f>AB8*AC8</f>
        <v>454.63514249999992</v>
      </c>
      <c r="AE8" s="15">
        <v>0.3</v>
      </c>
      <c r="AF8" s="14">
        <f>AD8*AE8</f>
        <v>136.39054274999998</v>
      </c>
      <c r="AG8" s="15">
        <v>0.4</v>
      </c>
      <c r="AH8" s="14">
        <f>AF8*AG8</f>
        <v>54.556217099999998</v>
      </c>
      <c r="AI8" s="17">
        <v>417</v>
      </c>
      <c r="AJ8" s="18">
        <f>AI8*AH8</f>
        <v>22749.942530699998</v>
      </c>
      <c r="AK8" s="18">
        <f>AJ8/S8</f>
        <v>0.42955515275046918</v>
      </c>
    </row>
    <row r="9" spans="2:37" x14ac:dyDescent="0.2">
      <c r="B9" s="12" t="s">
        <v>6</v>
      </c>
      <c r="C9" s="12">
        <v>39623</v>
      </c>
      <c r="E9" s="13">
        <v>3.5000000000000003E-2</v>
      </c>
      <c r="F9" s="14">
        <f t="shared" si="0"/>
        <v>1386.8050000000001</v>
      </c>
      <c r="G9" s="25">
        <f t="shared" si="1"/>
        <v>38236.195</v>
      </c>
      <c r="H9" s="15">
        <v>0.7</v>
      </c>
      <c r="I9" s="25">
        <f t="shared" ref="I9:I17" si="3">G9*H9</f>
        <v>26765.336499999998</v>
      </c>
      <c r="J9" s="16">
        <v>0.95</v>
      </c>
      <c r="K9" s="14">
        <f t="shared" ref="K9:K17" si="4">1/(1-J9)</f>
        <v>19.999999999999982</v>
      </c>
      <c r="M9" s="17">
        <f t="shared" si="2"/>
        <v>97062.481950000001</v>
      </c>
      <c r="N9" s="18">
        <f t="shared" ref="N9:N17" si="5">M9*30%</f>
        <v>29118.744585</v>
      </c>
      <c r="O9" s="18">
        <f t="shared" ref="O9:O17" si="6">M9-N9</f>
        <v>67943.737365000008</v>
      </c>
      <c r="P9" s="16">
        <v>0.2</v>
      </c>
      <c r="Q9" s="18">
        <f t="shared" ref="Q9:Q17" si="7">O9*P9</f>
        <v>13588.747473000003</v>
      </c>
      <c r="R9" s="18">
        <f t="shared" ref="R9:R17" si="8">F9*4</f>
        <v>5547.22</v>
      </c>
      <c r="S9" s="18">
        <f t="shared" ref="S9:S17" si="9">O9-Q9-R9</f>
        <v>48807.769892000004</v>
      </c>
      <c r="U9" s="25">
        <f t="shared" ref="U9:U17" si="10">I9</f>
        <v>26765.336499999998</v>
      </c>
      <c r="V9" s="14">
        <f t="shared" ref="V9:V17" si="11">K9</f>
        <v>19.999999999999982</v>
      </c>
      <c r="W9" s="25">
        <f t="shared" ref="W9:W17" si="12">U9*V9</f>
        <v>535306.72999999952</v>
      </c>
      <c r="X9" s="15">
        <v>0.3</v>
      </c>
      <c r="Y9" s="25">
        <f t="shared" ref="Y9:Y17" si="13">U9*X9</f>
        <v>8029.6009499999991</v>
      </c>
      <c r="Z9" s="25">
        <f t="shared" ref="Z9:Z17" si="14">Y9*V9</f>
        <v>160592.01899999983</v>
      </c>
      <c r="AA9" s="15">
        <v>0.5</v>
      </c>
      <c r="AB9" s="25">
        <f t="shared" ref="AB9:AB17" si="15">Y9*AA9</f>
        <v>4014.8004749999996</v>
      </c>
      <c r="AC9" s="15">
        <v>0.1</v>
      </c>
      <c r="AD9" s="14">
        <f t="shared" ref="AD9:AD17" si="16">AB9*AC9</f>
        <v>401.48004749999996</v>
      </c>
      <c r="AE9" s="15">
        <v>0.3</v>
      </c>
      <c r="AF9" s="14">
        <f t="shared" ref="AF9:AF17" si="17">AD9*AE9</f>
        <v>120.44401424999998</v>
      </c>
      <c r="AG9" s="15">
        <v>0.4</v>
      </c>
      <c r="AH9" s="14">
        <f t="shared" ref="AH9:AH17" si="18">AF9*AG9</f>
        <v>48.177605699999994</v>
      </c>
      <c r="AI9" s="17">
        <v>417</v>
      </c>
      <c r="AJ9" s="18">
        <f t="shared" ref="AJ9:AJ17" si="19">AI9*AH9</f>
        <v>20090.061576899996</v>
      </c>
      <c r="AK9" s="18">
        <f t="shared" ref="AK9:AK17" si="20">AJ9/S9</f>
        <v>0.41161605255381528</v>
      </c>
    </row>
    <row r="10" spans="2:37" x14ac:dyDescent="0.2">
      <c r="B10" s="12" t="s">
        <v>7</v>
      </c>
      <c r="C10" s="12">
        <v>31541</v>
      </c>
      <c r="E10" s="13">
        <v>3.5000000000000003E-2</v>
      </c>
      <c r="F10" s="14">
        <f t="shared" si="0"/>
        <v>1103.9350000000002</v>
      </c>
      <c r="G10" s="25">
        <f t="shared" si="1"/>
        <v>30437.064999999999</v>
      </c>
      <c r="H10" s="15">
        <v>0.7</v>
      </c>
      <c r="I10" s="25">
        <f t="shared" si="3"/>
        <v>21305.945499999998</v>
      </c>
      <c r="J10" s="16">
        <v>0.95</v>
      </c>
      <c r="K10" s="14">
        <f t="shared" si="4"/>
        <v>19.999999999999982</v>
      </c>
      <c r="M10" s="17">
        <f t="shared" si="2"/>
        <v>77264.410650000005</v>
      </c>
      <c r="N10" s="18">
        <f t="shared" si="5"/>
        <v>23179.323195000001</v>
      </c>
      <c r="O10" s="18">
        <f t="shared" si="6"/>
        <v>54085.087455000001</v>
      </c>
      <c r="P10" s="16">
        <v>0.2</v>
      </c>
      <c r="Q10" s="18">
        <f t="shared" si="7"/>
        <v>10817.017491000001</v>
      </c>
      <c r="R10" s="18">
        <f t="shared" si="8"/>
        <v>4415.7400000000007</v>
      </c>
      <c r="S10" s="18">
        <f t="shared" si="9"/>
        <v>38852.329964000004</v>
      </c>
      <c r="U10" s="25">
        <f t="shared" si="10"/>
        <v>21305.945499999998</v>
      </c>
      <c r="V10" s="14">
        <f t="shared" si="11"/>
        <v>19.999999999999982</v>
      </c>
      <c r="W10" s="25">
        <f t="shared" si="12"/>
        <v>426118.90999999957</v>
      </c>
      <c r="X10" s="15">
        <v>0.3</v>
      </c>
      <c r="Y10" s="25">
        <f t="shared" si="13"/>
        <v>6391.7836499999994</v>
      </c>
      <c r="Z10" s="25">
        <f t="shared" si="14"/>
        <v>127835.67299999988</v>
      </c>
      <c r="AA10" s="15">
        <v>0.5</v>
      </c>
      <c r="AB10" s="25">
        <f t="shared" si="15"/>
        <v>3195.8918249999997</v>
      </c>
      <c r="AC10" s="15">
        <v>0.1</v>
      </c>
      <c r="AD10" s="14">
        <f t="shared" si="16"/>
        <v>319.58918249999999</v>
      </c>
      <c r="AE10" s="15">
        <v>0.3</v>
      </c>
      <c r="AF10" s="14">
        <f t="shared" si="17"/>
        <v>95.876754749999989</v>
      </c>
      <c r="AG10" s="15">
        <v>0.4</v>
      </c>
      <c r="AH10" s="14">
        <f t="shared" si="18"/>
        <v>38.350701899999997</v>
      </c>
      <c r="AI10" s="17">
        <v>417</v>
      </c>
      <c r="AJ10" s="18">
        <f t="shared" si="19"/>
        <v>15992.242692299998</v>
      </c>
      <c r="AK10" s="18">
        <f t="shared" si="20"/>
        <v>0.41161605255381528</v>
      </c>
    </row>
    <row r="11" spans="2:37" x14ac:dyDescent="0.2">
      <c r="B11" s="12" t="s">
        <v>8</v>
      </c>
      <c r="C11" s="12">
        <v>26636</v>
      </c>
      <c r="E11" s="13">
        <v>3.5000000000000003E-2</v>
      </c>
      <c r="F11" s="14">
        <f t="shared" si="0"/>
        <v>932.2600000000001</v>
      </c>
      <c r="G11" s="25">
        <f t="shared" si="1"/>
        <v>25703.74</v>
      </c>
      <c r="H11" s="15">
        <v>0.7</v>
      </c>
      <c r="I11" s="25">
        <f t="shared" si="3"/>
        <v>17992.617999999999</v>
      </c>
      <c r="J11" s="16">
        <v>0.95</v>
      </c>
      <c r="K11" s="14">
        <f t="shared" si="4"/>
        <v>19.999999999999982</v>
      </c>
      <c r="M11" s="17">
        <f t="shared" si="2"/>
        <v>65248.877400000005</v>
      </c>
      <c r="N11" s="18">
        <f t="shared" si="5"/>
        <v>19574.663220000002</v>
      </c>
      <c r="O11" s="18">
        <f t="shared" si="6"/>
        <v>45674.214180000003</v>
      </c>
      <c r="P11" s="16">
        <v>0.19</v>
      </c>
      <c r="Q11" s="18">
        <f t="shared" si="7"/>
        <v>8678.1006942000004</v>
      </c>
      <c r="R11" s="18">
        <f t="shared" si="8"/>
        <v>3729.0400000000004</v>
      </c>
      <c r="S11" s="18">
        <f t="shared" si="9"/>
        <v>33267.0734858</v>
      </c>
      <c r="U11" s="25">
        <f t="shared" si="10"/>
        <v>17992.617999999999</v>
      </c>
      <c r="V11" s="14">
        <f t="shared" si="11"/>
        <v>19.999999999999982</v>
      </c>
      <c r="W11" s="25">
        <f t="shared" si="12"/>
        <v>359852.35999999964</v>
      </c>
      <c r="X11" s="15">
        <v>0.3</v>
      </c>
      <c r="Y11" s="25">
        <f t="shared" si="13"/>
        <v>5397.7853999999998</v>
      </c>
      <c r="Z11" s="25">
        <f t="shared" si="14"/>
        <v>107955.7079999999</v>
      </c>
      <c r="AA11" s="15">
        <v>0.5</v>
      </c>
      <c r="AB11" s="25">
        <f t="shared" si="15"/>
        <v>2698.8926999999999</v>
      </c>
      <c r="AC11" s="15">
        <v>0.1</v>
      </c>
      <c r="AD11" s="14">
        <f t="shared" si="16"/>
        <v>269.88927000000001</v>
      </c>
      <c r="AE11" s="15">
        <v>0.3</v>
      </c>
      <c r="AF11" s="14">
        <f t="shared" si="17"/>
        <v>80.966780999999997</v>
      </c>
      <c r="AG11" s="15">
        <v>0.4</v>
      </c>
      <c r="AH11" s="14">
        <f t="shared" si="18"/>
        <v>32.3867124</v>
      </c>
      <c r="AI11" s="17">
        <v>417</v>
      </c>
      <c r="AJ11" s="18">
        <f t="shared" si="19"/>
        <v>13505.259070800001</v>
      </c>
      <c r="AK11" s="18">
        <f t="shared" si="20"/>
        <v>0.40596474699118634</v>
      </c>
    </row>
    <row r="12" spans="2:37" x14ac:dyDescent="0.2">
      <c r="B12" s="12" t="s">
        <v>9</v>
      </c>
      <c r="C12" s="12">
        <v>18105</v>
      </c>
      <c r="E12" s="13">
        <v>3.5000000000000003E-2</v>
      </c>
      <c r="F12" s="14">
        <f t="shared" si="0"/>
        <v>633.67500000000007</v>
      </c>
      <c r="G12" s="25">
        <f t="shared" si="1"/>
        <v>17471.325000000001</v>
      </c>
      <c r="H12" s="15">
        <v>0.7</v>
      </c>
      <c r="I12" s="25">
        <f t="shared" si="3"/>
        <v>12229.9275</v>
      </c>
      <c r="J12" s="16">
        <v>0.95</v>
      </c>
      <c r="K12" s="14">
        <f t="shared" si="4"/>
        <v>19.999999999999982</v>
      </c>
      <c r="M12" s="17">
        <f t="shared" si="2"/>
        <v>44350.913250000005</v>
      </c>
      <c r="N12" s="18">
        <f t="shared" si="5"/>
        <v>13305.273975000002</v>
      </c>
      <c r="O12" s="18">
        <f t="shared" si="6"/>
        <v>31045.639275000001</v>
      </c>
      <c r="P12" s="16">
        <v>0.22</v>
      </c>
      <c r="Q12" s="18">
        <f t="shared" si="7"/>
        <v>6830.0406405000003</v>
      </c>
      <c r="R12" s="18">
        <f t="shared" si="8"/>
        <v>2534.7000000000003</v>
      </c>
      <c r="S12" s="18">
        <f t="shared" si="9"/>
        <v>21680.898634500001</v>
      </c>
      <c r="U12" s="25">
        <f t="shared" si="10"/>
        <v>12229.9275</v>
      </c>
      <c r="V12" s="14">
        <f t="shared" si="11"/>
        <v>19.999999999999982</v>
      </c>
      <c r="W12" s="25">
        <f t="shared" si="12"/>
        <v>244598.54999999978</v>
      </c>
      <c r="X12" s="15">
        <v>0.3</v>
      </c>
      <c r="Y12" s="25">
        <f t="shared" si="13"/>
        <v>3668.9782499999997</v>
      </c>
      <c r="Z12" s="25">
        <f t="shared" si="14"/>
        <v>73379.56499999993</v>
      </c>
      <c r="AA12" s="15">
        <v>0.5</v>
      </c>
      <c r="AB12" s="25">
        <f t="shared" si="15"/>
        <v>1834.4891249999998</v>
      </c>
      <c r="AC12" s="15">
        <v>0.1</v>
      </c>
      <c r="AD12" s="14">
        <f t="shared" si="16"/>
        <v>183.44891250000001</v>
      </c>
      <c r="AE12" s="15">
        <v>0.3</v>
      </c>
      <c r="AF12" s="14">
        <f t="shared" si="17"/>
        <v>55.034673750000003</v>
      </c>
      <c r="AG12" s="15">
        <v>0.4</v>
      </c>
      <c r="AH12" s="14">
        <f t="shared" si="18"/>
        <v>22.013869500000002</v>
      </c>
      <c r="AI12" s="17">
        <v>417</v>
      </c>
      <c r="AJ12" s="18">
        <f t="shared" si="19"/>
        <v>9179.7835815000017</v>
      </c>
      <c r="AK12" s="18">
        <f t="shared" si="20"/>
        <v>0.42340420183933503</v>
      </c>
    </row>
    <row r="13" spans="2:37" x14ac:dyDescent="0.2">
      <c r="B13" s="12" t="s">
        <v>10</v>
      </c>
      <c r="C13" s="12">
        <v>12835</v>
      </c>
      <c r="E13" s="13">
        <v>3.5000000000000003E-2</v>
      </c>
      <c r="F13" s="14">
        <f t="shared" si="0"/>
        <v>449.22500000000002</v>
      </c>
      <c r="G13" s="25">
        <f t="shared" si="1"/>
        <v>12385.775</v>
      </c>
      <c r="H13" s="15">
        <v>0.7</v>
      </c>
      <c r="I13" s="25">
        <f t="shared" si="3"/>
        <v>8670.0424999999996</v>
      </c>
      <c r="J13" s="16">
        <v>0.95</v>
      </c>
      <c r="K13" s="14">
        <f t="shared" si="4"/>
        <v>19.999999999999982</v>
      </c>
      <c r="M13" s="17">
        <f t="shared" si="2"/>
        <v>31441.257750000001</v>
      </c>
      <c r="N13" s="18">
        <f t="shared" si="5"/>
        <v>9432.3773249999995</v>
      </c>
      <c r="O13" s="18">
        <f t="shared" si="6"/>
        <v>22008.880425000003</v>
      </c>
      <c r="P13" s="16">
        <v>0.2</v>
      </c>
      <c r="Q13" s="18">
        <f t="shared" si="7"/>
        <v>4401.7760850000004</v>
      </c>
      <c r="R13" s="18">
        <f t="shared" si="8"/>
        <v>1796.9</v>
      </c>
      <c r="S13" s="18">
        <f t="shared" si="9"/>
        <v>15810.204340000002</v>
      </c>
      <c r="U13" s="25">
        <f t="shared" si="10"/>
        <v>8670.0424999999996</v>
      </c>
      <c r="V13" s="14">
        <f t="shared" si="11"/>
        <v>19.999999999999982</v>
      </c>
      <c r="W13" s="25">
        <f t="shared" si="12"/>
        <v>173400.84999999983</v>
      </c>
      <c r="X13" s="15">
        <v>0.3</v>
      </c>
      <c r="Y13" s="25">
        <f t="shared" si="13"/>
        <v>2601.0127499999999</v>
      </c>
      <c r="Z13" s="25">
        <f t="shared" si="14"/>
        <v>52020.254999999954</v>
      </c>
      <c r="AA13" s="15">
        <v>0.5</v>
      </c>
      <c r="AB13" s="25">
        <f t="shared" si="15"/>
        <v>1300.5063749999999</v>
      </c>
      <c r="AC13" s="15">
        <v>0.1</v>
      </c>
      <c r="AD13" s="14">
        <f t="shared" si="16"/>
        <v>130.05063749999999</v>
      </c>
      <c r="AE13" s="15">
        <v>0.3</v>
      </c>
      <c r="AF13" s="14">
        <f t="shared" si="17"/>
        <v>39.015191249999994</v>
      </c>
      <c r="AG13" s="15">
        <v>0.4</v>
      </c>
      <c r="AH13" s="14">
        <f t="shared" si="18"/>
        <v>15.606076499999999</v>
      </c>
      <c r="AI13" s="17">
        <v>417</v>
      </c>
      <c r="AJ13" s="18">
        <f t="shared" si="19"/>
        <v>6507.7339004999994</v>
      </c>
      <c r="AK13" s="18">
        <f t="shared" si="20"/>
        <v>0.41161605255381528</v>
      </c>
    </row>
    <row r="14" spans="2:37" x14ac:dyDescent="0.2">
      <c r="B14" s="12" t="s">
        <v>11</v>
      </c>
      <c r="C14" s="12">
        <v>17621</v>
      </c>
      <c r="E14" s="13">
        <v>3.5000000000000003E-2</v>
      </c>
      <c r="F14" s="14">
        <f t="shared" si="0"/>
        <v>616.73500000000001</v>
      </c>
      <c r="G14" s="25">
        <f t="shared" si="1"/>
        <v>17004.264999999999</v>
      </c>
      <c r="H14" s="15">
        <v>0.7</v>
      </c>
      <c r="I14" s="25">
        <f t="shared" si="3"/>
        <v>11902.985499999999</v>
      </c>
      <c r="J14" s="16">
        <v>0.95</v>
      </c>
      <c r="K14" s="14">
        <f t="shared" si="4"/>
        <v>19.999999999999982</v>
      </c>
      <c r="M14" s="17">
        <f t="shared" si="2"/>
        <v>43165.282650000001</v>
      </c>
      <c r="N14" s="18">
        <f t="shared" si="5"/>
        <v>12949.584795000001</v>
      </c>
      <c r="O14" s="18">
        <f t="shared" si="6"/>
        <v>30215.697854999999</v>
      </c>
      <c r="P14" s="16">
        <v>0.21</v>
      </c>
      <c r="Q14" s="18">
        <f t="shared" si="7"/>
        <v>6345.2965495499993</v>
      </c>
      <c r="R14" s="18">
        <f t="shared" si="8"/>
        <v>2466.94</v>
      </c>
      <c r="S14" s="18">
        <f t="shared" si="9"/>
        <v>21403.461305450001</v>
      </c>
      <c r="U14" s="25">
        <f t="shared" si="10"/>
        <v>11902.985499999999</v>
      </c>
      <c r="V14" s="14">
        <f t="shared" si="11"/>
        <v>19.999999999999982</v>
      </c>
      <c r="W14" s="25">
        <f t="shared" si="12"/>
        <v>238059.70999999976</v>
      </c>
      <c r="X14" s="15">
        <v>0.3</v>
      </c>
      <c r="Y14" s="25">
        <f t="shared" si="13"/>
        <v>3570.8956499999995</v>
      </c>
      <c r="Z14" s="25">
        <f t="shared" si="14"/>
        <v>71417.912999999928</v>
      </c>
      <c r="AA14" s="15">
        <v>0.5</v>
      </c>
      <c r="AB14" s="25">
        <f t="shared" si="15"/>
        <v>1785.4478249999997</v>
      </c>
      <c r="AC14" s="15">
        <v>0.1</v>
      </c>
      <c r="AD14" s="14">
        <f t="shared" si="16"/>
        <v>178.5447825</v>
      </c>
      <c r="AE14" s="15">
        <v>0.3</v>
      </c>
      <c r="AF14" s="14">
        <f t="shared" si="17"/>
        <v>53.563434749999999</v>
      </c>
      <c r="AG14" s="15">
        <v>0.4</v>
      </c>
      <c r="AH14" s="14">
        <f t="shared" si="18"/>
        <v>21.4253739</v>
      </c>
      <c r="AI14" s="17">
        <v>417</v>
      </c>
      <c r="AJ14" s="18">
        <f t="shared" si="19"/>
        <v>8934.3809163000005</v>
      </c>
      <c r="AK14" s="18">
        <f t="shared" si="20"/>
        <v>0.41742691935649789</v>
      </c>
    </row>
    <row r="15" spans="2:37" x14ac:dyDescent="0.2">
      <c r="B15" s="12" t="s">
        <v>12</v>
      </c>
      <c r="C15" s="12">
        <v>10883</v>
      </c>
      <c r="E15" s="13">
        <v>3.5000000000000003E-2</v>
      </c>
      <c r="F15" s="14">
        <f t="shared" si="0"/>
        <v>380.90500000000003</v>
      </c>
      <c r="G15" s="25">
        <f t="shared" si="1"/>
        <v>10502.094999999999</v>
      </c>
      <c r="H15" s="15">
        <v>0.7</v>
      </c>
      <c r="I15" s="25">
        <f t="shared" si="3"/>
        <v>7351.4664999999986</v>
      </c>
      <c r="J15" s="16">
        <v>0.95</v>
      </c>
      <c r="K15" s="14">
        <f t="shared" si="4"/>
        <v>19.999999999999982</v>
      </c>
      <c r="M15" s="17">
        <f t="shared" si="2"/>
        <v>26659.540949999999</v>
      </c>
      <c r="N15" s="18">
        <f t="shared" si="5"/>
        <v>7997.8622849999992</v>
      </c>
      <c r="O15" s="18">
        <f t="shared" si="6"/>
        <v>18661.678664999999</v>
      </c>
      <c r="P15" s="16">
        <v>0.21</v>
      </c>
      <c r="Q15" s="18">
        <f t="shared" si="7"/>
        <v>3918.9525196499999</v>
      </c>
      <c r="R15" s="18">
        <f t="shared" si="8"/>
        <v>1523.6200000000001</v>
      </c>
      <c r="S15" s="18">
        <f t="shared" si="9"/>
        <v>13219.106145349999</v>
      </c>
      <c r="U15" s="25">
        <f t="shared" si="10"/>
        <v>7351.4664999999986</v>
      </c>
      <c r="V15" s="14">
        <f t="shared" si="11"/>
        <v>19.999999999999982</v>
      </c>
      <c r="W15" s="25">
        <f t="shared" si="12"/>
        <v>147029.32999999984</v>
      </c>
      <c r="X15" s="15">
        <v>0.3</v>
      </c>
      <c r="Y15" s="25">
        <f t="shared" si="13"/>
        <v>2205.4399499999995</v>
      </c>
      <c r="Z15" s="25">
        <f t="shared" si="14"/>
        <v>44108.798999999948</v>
      </c>
      <c r="AA15" s="15">
        <v>0.5</v>
      </c>
      <c r="AB15" s="25">
        <f t="shared" si="15"/>
        <v>1102.7199749999997</v>
      </c>
      <c r="AC15" s="15">
        <v>0.1</v>
      </c>
      <c r="AD15" s="14">
        <f t="shared" si="16"/>
        <v>110.27199749999998</v>
      </c>
      <c r="AE15" s="15">
        <v>0.3</v>
      </c>
      <c r="AF15" s="14">
        <f t="shared" si="17"/>
        <v>33.081599249999996</v>
      </c>
      <c r="AG15" s="15">
        <v>0.4</v>
      </c>
      <c r="AH15" s="14">
        <f t="shared" si="18"/>
        <v>13.2326397</v>
      </c>
      <c r="AI15" s="17">
        <v>417</v>
      </c>
      <c r="AJ15" s="18">
        <f t="shared" si="19"/>
        <v>5518.0107549000004</v>
      </c>
      <c r="AK15" s="18">
        <f t="shared" si="20"/>
        <v>0.41742691935649795</v>
      </c>
    </row>
    <row r="16" spans="2:37" x14ac:dyDescent="0.2">
      <c r="B16" s="12" t="s">
        <v>13</v>
      </c>
      <c r="C16" s="12">
        <v>10794</v>
      </c>
      <c r="E16" s="13">
        <v>3.5000000000000003E-2</v>
      </c>
      <c r="F16" s="14">
        <f t="shared" si="0"/>
        <v>377.79</v>
      </c>
      <c r="G16" s="25">
        <f t="shared" si="1"/>
        <v>10416.209999999999</v>
      </c>
      <c r="H16" s="15">
        <v>0.7</v>
      </c>
      <c r="I16" s="25">
        <f t="shared" si="3"/>
        <v>7291.3469999999988</v>
      </c>
      <c r="J16" s="16">
        <v>0.95</v>
      </c>
      <c r="K16" s="14">
        <f t="shared" si="4"/>
        <v>19.999999999999982</v>
      </c>
      <c r="M16" s="17">
        <f t="shared" si="2"/>
        <v>26441.522099999998</v>
      </c>
      <c r="N16" s="18">
        <f t="shared" si="5"/>
        <v>7932.4566299999988</v>
      </c>
      <c r="O16" s="18">
        <f t="shared" si="6"/>
        <v>18509.065470000001</v>
      </c>
      <c r="P16" s="16">
        <v>0.19</v>
      </c>
      <c r="Q16" s="18">
        <f t="shared" si="7"/>
        <v>3516.7224393000001</v>
      </c>
      <c r="R16" s="18">
        <f t="shared" si="8"/>
        <v>1511.16</v>
      </c>
      <c r="S16" s="18">
        <f t="shared" si="9"/>
        <v>13481.183030700002</v>
      </c>
      <c r="U16" s="25">
        <f t="shared" si="10"/>
        <v>7291.3469999999988</v>
      </c>
      <c r="V16" s="14">
        <f t="shared" si="11"/>
        <v>19.999999999999982</v>
      </c>
      <c r="W16" s="25">
        <f t="shared" si="12"/>
        <v>145826.93999999986</v>
      </c>
      <c r="X16" s="15">
        <v>0.3</v>
      </c>
      <c r="Y16" s="25">
        <f t="shared" si="13"/>
        <v>2187.4040999999997</v>
      </c>
      <c r="Z16" s="25">
        <f t="shared" si="14"/>
        <v>43748.081999999958</v>
      </c>
      <c r="AA16" s="15">
        <v>0.5</v>
      </c>
      <c r="AB16" s="25">
        <f t="shared" si="15"/>
        <v>1093.7020499999999</v>
      </c>
      <c r="AC16" s="15">
        <v>0.1</v>
      </c>
      <c r="AD16" s="14">
        <f t="shared" si="16"/>
        <v>109.370205</v>
      </c>
      <c r="AE16" s="15">
        <v>0.3</v>
      </c>
      <c r="AF16" s="14">
        <f t="shared" si="17"/>
        <v>32.811061500000001</v>
      </c>
      <c r="AG16" s="15">
        <v>0.4</v>
      </c>
      <c r="AH16" s="14">
        <f t="shared" si="18"/>
        <v>13.124424600000001</v>
      </c>
      <c r="AI16" s="17">
        <v>417</v>
      </c>
      <c r="AJ16" s="18">
        <f t="shared" si="19"/>
        <v>5472.8850582000005</v>
      </c>
      <c r="AK16" s="18">
        <f t="shared" si="20"/>
        <v>0.40596474699118629</v>
      </c>
    </row>
    <row r="17" spans="2:39" x14ac:dyDescent="0.2">
      <c r="B17" s="12" t="s">
        <v>14</v>
      </c>
      <c r="C17" s="12">
        <v>6912</v>
      </c>
      <c r="E17" s="13">
        <v>3.5000000000000003E-2</v>
      </c>
      <c r="F17" s="14">
        <f t="shared" si="0"/>
        <v>241.92000000000002</v>
      </c>
      <c r="G17" s="25">
        <f t="shared" si="1"/>
        <v>6670.08</v>
      </c>
      <c r="H17" s="15">
        <v>0.7</v>
      </c>
      <c r="I17" s="25">
        <f t="shared" si="3"/>
        <v>4669.0559999999996</v>
      </c>
      <c r="J17" s="16">
        <v>0.95</v>
      </c>
      <c r="K17" s="14">
        <f t="shared" si="4"/>
        <v>19.999999999999982</v>
      </c>
      <c r="M17" s="17">
        <f t="shared" si="2"/>
        <v>16931.980800000001</v>
      </c>
      <c r="N17" s="18">
        <f t="shared" si="5"/>
        <v>5079.5942400000004</v>
      </c>
      <c r="O17" s="18">
        <f t="shared" si="6"/>
        <v>11852.386560000001</v>
      </c>
      <c r="P17" s="16">
        <v>0.27</v>
      </c>
      <c r="Q17" s="18">
        <f t="shared" si="7"/>
        <v>3200.1443712000005</v>
      </c>
      <c r="R17" s="18">
        <f t="shared" si="8"/>
        <v>967.68000000000006</v>
      </c>
      <c r="S17" s="18">
        <f t="shared" si="9"/>
        <v>7684.5621888000005</v>
      </c>
      <c r="U17" s="25">
        <f t="shared" si="10"/>
        <v>4669.0559999999996</v>
      </c>
      <c r="V17" s="14">
        <f t="shared" si="11"/>
        <v>19.999999999999982</v>
      </c>
      <c r="W17" s="25">
        <f t="shared" si="12"/>
        <v>93381.119999999908</v>
      </c>
      <c r="X17" s="15">
        <v>0.3</v>
      </c>
      <c r="Y17" s="25">
        <f t="shared" si="13"/>
        <v>1400.7167999999999</v>
      </c>
      <c r="Z17" s="25">
        <f t="shared" si="14"/>
        <v>28014.335999999974</v>
      </c>
      <c r="AA17" s="15">
        <v>0.5</v>
      </c>
      <c r="AB17" s="25">
        <f t="shared" si="15"/>
        <v>700.35839999999996</v>
      </c>
      <c r="AC17" s="15">
        <v>0.1</v>
      </c>
      <c r="AD17" s="14">
        <f t="shared" si="16"/>
        <v>70.035839999999993</v>
      </c>
      <c r="AE17" s="15">
        <v>0.3</v>
      </c>
      <c r="AF17" s="14">
        <f t="shared" si="17"/>
        <v>21.010751999999997</v>
      </c>
      <c r="AG17" s="15">
        <v>0.4</v>
      </c>
      <c r="AH17" s="14">
        <f t="shared" si="18"/>
        <v>8.4043007999999997</v>
      </c>
      <c r="AI17" s="17">
        <v>417</v>
      </c>
      <c r="AJ17" s="18">
        <f t="shared" si="19"/>
        <v>3504.5934336</v>
      </c>
      <c r="AK17" s="18">
        <f t="shared" si="20"/>
        <v>0.45605635656222954</v>
      </c>
    </row>
    <row r="18" spans="2:39" x14ac:dyDescent="0.2">
      <c r="B18" s="2"/>
      <c r="C18" s="2"/>
      <c r="E18" s="3"/>
      <c r="F18" s="2"/>
      <c r="G18" s="2"/>
      <c r="H18" s="2"/>
      <c r="I18" s="2"/>
      <c r="J18" s="2"/>
      <c r="K18" s="2"/>
      <c r="M18" s="4"/>
      <c r="N18" s="2"/>
      <c r="O18" s="2"/>
      <c r="P18" s="5"/>
      <c r="Q18" s="2"/>
      <c r="R18" s="2"/>
      <c r="S18" s="2"/>
      <c r="AM18" s="8"/>
    </row>
    <row r="19" spans="2:39" x14ac:dyDescent="0.2">
      <c r="B19" s="2"/>
      <c r="C19" s="8"/>
      <c r="E19" s="8"/>
      <c r="F19" s="9"/>
      <c r="G19" s="9"/>
      <c r="H19" s="8"/>
      <c r="I19" s="9"/>
      <c r="J19" s="8"/>
      <c r="K19" s="10"/>
      <c r="M19" s="11"/>
      <c r="N19" s="11"/>
      <c r="O19" s="11"/>
      <c r="P19" s="8"/>
      <c r="Q19" s="11"/>
      <c r="R19" s="11"/>
      <c r="S19" s="11"/>
      <c r="U19" s="9"/>
      <c r="V19" s="8"/>
      <c r="W19" s="9"/>
      <c r="X19" s="8"/>
      <c r="Y19" s="9"/>
      <c r="Z19" s="9"/>
      <c r="AA19" s="8"/>
      <c r="AB19" s="9"/>
      <c r="AC19" s="8"/>
      <c r="AD19" s="9"/>
      <c r="AE19" s="8"/>
      <c r="AF19" s="9"/>
      <c r="AG19" s="8"/>
      <c r="AH19" s="9"/>
      <c r="AI19" s="8"/>
      <c r="AJ19" s="11"/>
      <c r="AK19" s="8"/>
      <c r="AM19" s="11"/>
    </row>
  </sheetData>
  <mergeCells count="3">
    <mergeCell ref="M6:S6"/>
    <mergeCell ref="E6:K6"/>
    <mergeCell ref="U6:AK6"/>
  </mergeCells>
  <pageMargins left="0.7" right="0.7" top="0.75" bottom="0.75" header="0.3" footer="0.3"/>
  <headerFooter>
    <oddHeader>&amp;C&amp;"Aptos"&amp;10&amp;KFFFF00 CONFIDENTIAL - INTERNAL&amp;1#_x000D_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340E-A915-D340-A10C-508D9CFD0CB4}">
  <dimension ref="B3:AM19"/>
  <sheetViews>
    <sheetView workbookViewId="0">
      <selection activeCell="M24" sqref="M24"/>
    </sheetView>
  </sheetViews>
  <sheetFormatPr baseColWidth="10" defaultRowHeight="16" x14ac:dyDescent="0.2"/>
  <cols>
    <col min="1" max="1" width="2.6640625" style="1" customWidth="1"/>
    <col min="2" max="2" width="12" style="1" customWidth="1"/>
    <col min="3" max="3" width="15.1640625" style="1" bestFit="1" customWidth="1"/>
    <col min="4" max="4" width="0.83203125" style="1" customWidth="1"/>
    <col min="5" max="5" width="6" style="1" customWidth="1"/>
    <col min="6" max="6" width="6.5" style="1" customWidth="1"/>
    <col min="7" max="7" width="10.33203125" style="1" customWidth="1"/>
    <col min="8" max="8" width="7" style="1" customWidth="1"/>
    <col min="9" max="9" width="8.6640625" style="1" customWidth="1"/>
    <col min="10" max="10" width="9" style="1" customWidth="1"/>
    <col min="11" max="11" width="8.1640625" style="1" customWidth="1"/>
    <col min="12" max="12" width="0.83203125" style="1" customWidth="1"/>
    <col min="13" max="13" width="13.1640625" style="1" customWidth="1"/>
    <col min="14" max="14" width="15.1640625" style="1" bestFit="1" customWidth="1"/>
    <col min="15" max="15" width="17.1640625" style="1" bestFit="1" customWidth="1"/>
    <col min="16" max="16" width="7.33203125" style="1" customWidth="1"/>
    <col min="17" max="17" width="14" style="1" customWidth="1"/>
    <col min="18" max="18" width="13.33203125" style="1" customWidth="1"/>
    <col min="19" max="19" width="16.6640625" style="1" customWidth="1"/>
    <col min="20" max="20" width="1.33203125" style="1" customWidth="1"/>
    <col min="21" max="21" width="10" style="1" customWidth="1"/>
    <col min="22" max="22" width="7.5" style="1" customWidth="1"/>
    <col min="23" max="23" width="11" style="1" bestFit="1" customWidth="1"/>
    <col min="24" max="24" width="7" style="1" customWidth="1"/>
    <col min="25" max="25" width="6.83203125" style="1" customWidth="1"/>
    <col min="26" max="26" width="8.5" style="1" customWidth="1"/>
    <col min="27" max="27" width="6.6640625" style="1" customWidth="1"/>
    <col min="28" max="28" width="7.5" style="1" customWidth="1"/>
    <col min="29" max="29" width="7" style="1" customWidth="1"/>
    <col min="30" max="30" width="6.6640625" style="1" customWidth="1"/>
    <col min="31" max="31" width="7" style="1" customWidth="1"/>
    <col min="32" max="32" width="5.33203125" style="1" customWidth="1"/>
    <col min="33" max="33" width="5.83203125" style="1" customWidth="1"/>
    <col min="34" max="34" width="4.83203125" style="1" customWidth="1"/>
    <col min="35" max="35" width="7.6640625" style="1" customWidth="1"/>
    <col min="36" max="36" width="13" style="1" bestFit="1" customWidth="1"/>
    <col min="37" max="37" width="9.6640625" style="1" customWidth="1"/>
    <col min="38" max="38" width="10.83203125" style="1"/>
    <col min="39" max="39" width="11.33203125" style="1" bestFit="1" customWidth="1"/>
    <col min="40" max="16384" width="10.83203125" style="1"/>
  </cols>
  <sheetData>
    <row r="3" spans="2:37" ht="23" x14ac:dyDescent="0.25">
      <c r="B3" s="23" t="s">
        <v>69</v>
      </c>
    </row>
    <row r="4" spans="2:37" x14ac:dyDescent="0.2">
      <c r="B4" s="10" t="s">
        <v>26</v>
      </c>
      <c r="C4" s="19">
        <v>69.989999999999995</v>
      </c>
      <c r="E4" s="2"/>
      <c r="F4" s="2"/>
      <c r="G4" s="2"/>
      <c r="H4" s="2"/>
      <c r="I4" s="2"/>
      <c r="J4" s="2"/>
      <c r="K4" s="2"/>
      <c r="M4" s="2"/>
      <c r="N4" s="2"/>
      <c r="O4" s="2"/>
      <c r="P4" s="2"/>
      <c r="Q4" s="2"/>
      <c r="R4" s="2"/>
      <c r="S4" s="2"/>
    </row>
    <row r="5" spans="2:37" x14ac:dyDescent="0.2">
      <c r="B5" s="2"/>
      <c r="C5" s="2"/>
      <c r="E5" s="2"/>
      <c r="F5" s="2"/>
      <c r="G5" s="2"/>
      <c r="H5" s="2"/>
      <c r="I5" s="2"/>
      <c r="J5" s="2"/>
      <c r="K5" s="2"/>
      <c r="M5" s="2"/>
      <c r="N5" s="2"/>
      <c r="O5" s="2"/>
      <c r="P5" s="2"/>
      <c r="Q5" s="2"/>
      <c r="R5" s="2"/>
      <c r="S5" s="2"/>
    </row>
    <row r="6" spans="2:37" x14ac:dyDescent="0.2">
      <c r="B6" s="2"/>
      <c r="C6" s="2"/>
      <c r="E6" s="31" t="s">
        <v>25</v>
      </c>
      <c r="F6" s="31"/>
      <c r="G6" s="31"/>
      <c r="H6" s="31"/>
      <c r="I6" s="31"/>
      <c r="J6" s="31"/>
      <c r="K6" s="31"/>
      <c r="M6" s="31" t="s">
        <v>46</v>
      </c>
      <c r="N6" s="31"/>
      <c r="O6" s="31"/>
      <c r="P6" s="31"/>
      <c r="Q6" s="31"/>
      <c r="R6" s="31"/>
      <c r="S6" s="31"/>
      <c r="U6" s="31" t="s">
        <v>47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</row>
    <row r="7" spans="2:37" x14ac:dyDescent="0.2">
      <c r="B7" s="6" t="s">
        <v>0</v>
      </c>
      <c r="C7" s="6" t="s">
        <v>1</v>
      </c>
      <c r="E7" s="6" t="s">
        <v>15</v>
      </c>
      <c r="F7" s="6" t="s">
        <v>24</v>
      </c>
      <c r="G7" s="6" t="s">
        <v>18</v>
      </c>
      <c r="H7" s="6" t="s">
        <v>49</v>
      </c>
      <c r="I7" s="6" t="s">
        <v>19</v>
      </c>
      <c r="J7" s="6" t="s">
        <v>48</v>
      </c>
      <c r="K7" s="6" t="s">
        <v>50</v>
      </c>
      <c r="M7" s="7" t="s">
        <v>2</v>
      </c>
      <c r="N7" s="7" t="s">
        <v>45</v>
      </c>
      <c r="O7" s="7" t="s">
        <v>3</v>
      </c>
      <c r="P7" s="7" t="s">
        <v>16</v>
      </c>
      <c r="Q7" s="7" t="s">
        <v>44</v>
      </c>
      <c r="R7" s="7" t="s">
        <v>17</v>
      </c>
      <c r="S7" s="7" t="s">
        <v>4</v>
      </c>
      <c r="U7" s="7" t="s">
        <v>31</v>
      </c>
      <c r="V7" s="7" t="s">
        <v>27</v>
      </c>
      <c r="W7" s="7" t="s">
        <v>28</v>
      </c>
      <c r="X7" s="7" t="s">
        <v>29</v>
      </c>
      <c r="Y7" s="7" t="s">
        <v>30</v>
      </c>
      <c r="Z7" s="7" t="s">
        <v>32</v>
      </c>
      <c r="AA7" s="7" t="s">
        <v>33</v>
      </c>
      <c r="AB7" s="7" t="s">
        <v>34</v>
      </c>
      <c r="AC7" s="7" t="s">
        <v>35</v>
      </c>
      <c r="AD7" s="7" t="s">
        <v>36</v>
      </c>
      <c r="AE7" s="7" t="s">
        <v>37</v>
      </c>
      <c r="AF7" s="7" t="s">
        <v>38</v>
      </c>
      <c r="AG7" s="7" t="s">
        <v>39</v>
      </c>
      <c r="AH7" s="7" t="s">
        <v>40</v>
      </c>
      <c r="AI7" s="7" t="s">
        <v>41</v>
      </c>
      <c r="AJ7" s="7" t="s">
        <v>42</v>
      </c>
      <c r="AK7" s="7" t="s">
        <v>43</v>
      </c>
    </row>
    <row r="8" spans="2:37" x14ac:dyDescent="0.2">
      <c r="B8" s="12" t="s">
        <v>5</v>
      </c>
      <c r="C8" s="12">
        <v>44869</v>
      </c>
      <c r="E8" s="13">
        <v>3.5000000000000003E-2</v>
      </c>
      <c r="F8" s="14">
        <f t="shared" ref="F8:F17" si="0">C8*E8</f>
        <v>1570.4150000000002</v>
      </c>
      <c r="G8" s="25">
        <f t="shared" ref="G8:G17" si="1">C8-F8</f>
        <v>43298.584999999999</v>
      </c>
      <c r="H8" s="21">
        <v>0.05</v>
      </c>
      <c r="I8" s="25">
        <f>G8*H8</f>
        <v>2164.9292500000001</v>
      </c>
      <c r="J8" s="22">
        <v>0.5</v>
      </c>
      <c r="K8" s="14">
        <f>1/(1-J8)</f>
        <v>2</v>
      </c>
      <c r="M8" s="17">
        <f t="shared" ref="M8:M17" si="2">F8*C$4</f>
        <v>109913.34585000001</v>
      </c>
      <c r="N8" s="18">
        <f>M8*30%</f>
        <v>32974.003755000005</v>
      </c>
      <c r="O8" s="18">
        <f>M8-N8</f>
        <v>76939.342095</v>
      </c>
      <c r="P8" s="16">
        <v>0.23</v>
      </c>
      <c r="Q8" s="18">
        <f>O8*P8</f>
        <v>17696.048681849999</v>
      </c>
      <c r="R8" s="18">
        <f>F8*4</f>
        <v>6281.6600000000008</v>
      </c>
      <c r="S8" s="18">
        <f>O8-Q8-R8</f>
        <v>52961.633413149997</v>
      </c>
      <c r="U8" s="25">
        <f>I8</f>
        <v>2164.9292500000001</v>
      </c>
      <c r="V8" s="14">
        <f>K8</f>
        <v>2</v>
      </c>
      <c r="W8" s="25">
        <f>U8*V8</f>
        <v>4329.8585000000003</v>
      </c>
      <c r="X8" s="15">
        <v>0.3</v>
      </c>
      <c r="Y8" s="25">
        <f>U8*X8</f>
        <v>649.47877500000004</v>
      </c>
      <c r="Z8" s="25">
        <f>Y8*V8</f>
        <v>1298.9575500000001</v>
      </c>
      <c r="AA8" s="15">
        <v>0.5</v>
      </c>
      <c r="AB8" s="14">
        <f>Y8*AA8</f>
        <v>324.73938750000002</v>
      </c>
      <c r="AC8" s="15">
        <v>0.1</v>
      </c>
      <c r="AD8" s="14">
        <f>AB8*AC8</f>
        <v>32.473938750000002</v>
      </c>
      <c r="AE8" s="15">
        <v>0.3</v>
      </c>
      <c r="AF8" s="14">
        <f>AD8*AE8</f>
        <v>9.7421816250000006</v>
      </c>
      <c r="AG8" s="15">
        <v>0.4</v>
      </c>
      <c r="AH8" s="14">
        <f>AF8*AG8</f>
        <v>3.8968726500000006</v>
      </c>
      <c r="AI8" s="17">
        <v>417</v>
      </c>
      <c r="AJ8" s="18">
        <f>AI8*AH8</f>
        <v>1624.9958950500002</v>
      </c>
      <c r="AK8" s="18">
        <f>AJ8/S8</f>
        <v>3.0682510910747803E-2</v>
      </c>
    </row>
    <row r="9" spans="2:37" x14ac:dyDescent="0.2">
      <c r="B9" s="12" t="s">
        <v>6</v>
      </c>
      <c r="C9" s="12">
        <v>39623</v>
      </c>
      <c r="E9" s="13">
        <v>3.5000000000000003E-2</v>
      </c>
      <c r="F9" s="14">
        <f t="shared" si="0"/>
        <v>1386.8050000000001</v>
      </c>
      <c r="G9" s="25">
        <f t="shared" si="1"/>
        <v>38236.195</v>
      </c>
      <c r="H9" s="21">
        <v>0.05</v>
      </c>
      <c r="I9" s="25">
        <f t="shared" ref="I9:I17" si="3">G9*H9</f>
        <v>1911.8097500000001</v>
      </c>
      <c r="J9" s="22">
        <v>0.5</v>
      </c>
      <c r="K9" s="14">
        <f t="shared" ref="K9:K17" si="4">1/(1-J9)</f>
        <v>2</v>
      </c>
      <c r="M9" s="17">
        <f t="shared" si="2"/>
        <v>97062.481950000001</v>
      </c>
      <c r="N9" s="18">
        <f t="shared" ref="N9:N17" si="5">M9*30%</f>
        <v>29118.744585</v>
      </c>
      <c r="O9" s="18">
        <f t="shared" ref="O9:O17" si="6">M9-N9</f>
        <v>67943.737365000008</v>
      </c>
      <c r="P9" s="16">
        <v>0.2</v>
      </c>
      <c r="Q9" s="18">
        <f t="shared" ref="Q9:Q17" si="7">O9*P9</f>
        <v>13588.747473000003</v>
      </c>
      <c r="R9" s="18">
        <f t="shared" ref="R9:R17" si="8">F9*4</f>
        <v>5547.22</v>
      </c>
      <c r="S9" s="18">
        <f t="shared" ref="S9:S17" si="9">O9-Q9-R9</f>
        <v>48807.769892000004</v>
      </c>
      <c r="U9" s="25">
        <f t="shared" ref="U9:U17" si="10">I9</f>
        <v>1911.8097500000001</v>
      </c>
      <c r="V9" s="14">
        <f t="shared" ref="V9:V17" si="11">K9</f>
        <v>2</v>
      </c>
      <c r="W9" s="25">
        <f t="shared" ref="W9:W17" si="12">U9*V9</f>
        <v>3823.6195000000002</v>
      </c>
      <c r="X9" s="15">
        <v>0.3</v>
      </c>
      <c r="Y9" s="25">
        <f t="shared" ref="Y9:Y17" si="13">U9*X9</f>
        <v>573.54292499999997</v>
      </c>
      <c r="Z9" s="25">
        <f t="shared" ref="Z9:Z17" si="14">Y9*V9</f>
        <v>1147.0858499999999</v>
      </c>
      <c r="AA9" s="15">
        <v>0.5</v>
      </c>
      <c r="AB9" s="14">
        <f t="shared" ref="AB9:AB17" si="15">Y9*AA9</f>
        <v>286.77146249999998</v>
      </c>
      <c r="AC9" s="15">
        <v>0.1</v>
      </c>
      <c r="AD9" s="14">
        <f t="shared" ref="AD9:AD17" si="16">AB9*AC9</f>
        <v>28.67714625</v>
      </c>
      <c r="AE9" s="15">
        <v>0.3</v>
      </c>
      <c r="AF9" s="14">
        <f t="shared" ref="AF9:AF17" si="17">AD9*AE9</f>
        <v>8.6031438749999989</v>
      </c>
      <c r="AG9" s="15">
        <v>0.4</v>
      </c>
      <c r="AH9" s="14">
        <f t="shared" ref="AH9:AH17" si="18">AF9*AG9</f>
        <v>3.4412575499999996</v>
      </c>
      <c r="AI9" s="17">
        <v>417</v>
      </c>
      <c r="AJ9" s="18">
        <f t="shared" ref="AJ9:AJ17" si="19">AI9*AH9</f>
        <v>1435.0043983499997</v>
      </c>
      <c r="AK9" s="18">
        <f t="shared" ref="AK9:AK17" si="20">AJ9/S9</f>
        <v>2.9401146610986806E-2</v>
      </c>
    </row>
    <row r="10" spans="2:37" x14ac:dyDescent="0.2">
      <c r="B10" s="12" t="s">
        <v>7</v>
      </c>
      <c r="C10" s="12">
        <v>31541</v>
      </c>
      <c r="E10" s="13">
        <v>3.5000000000000003E-2</v>
      </c>
      <c r="F10" s="14">
        <f t="shared" si="0"/>
        <v>1103.9350000000002</v>
      </c>
      <c r="G10" s="25">
        <f t="shared" si="1"/>
        <v>30437.064999999999</v>
      </c>
      <c r="H10" s="21">
        <v>0.05</v>
      </c>
      <c r="I10" s="25">
        <f t="shared" si="3"/>
        <v>1521.8532500000001</v>
      </c>
      <c r="J10" s="22">
        <v>0.5</v>
      </c>
      <c r="K10" s="14">
        <f t="shared" si="4"/>
        <v>2</v>
      </c>
      <c r="M10" s="17">
        <f t="shared" si="2"/>
        <v>77264.410650000005</v>
      </c>
      <c r="N10" s="18">
        <f t="shared" si="5"/>
        <v>23179.323195000001</v>
      </c>
      <c r="O10" s="18">
        <f t="shared" si="6"/>
        <v>54085.087455000001</v>
      </c>
      <c r="P10" s="16">
        <v>0.2</v>
      </c>
      <c r="Q10" s="18">
        <f t="shared" si="7"/>
        <v>10817.017491000001</v>
      </c>
      <c r="R10" s="18">
        <f t="shared" si="8"/>
        <v>4415.7400000000007</v>
      </c>
      <c r="S10" s="18">
        <f t="shared" si="9"/>
        <v>38852.329964000004</v>
      </c>
      <c r="U10" s="25">
        <f t="shared" si="10"/>
        <v>1521.8532500000001</v>
      </c>
      <c r="V10" s="14">
        <f t="shared" si="11"/>
        <v>2</v>
      </c>
      <c r="W10" s="25">
        <f t="shared" si="12"/>
        <v>3043.7065000000002</v>
      </c>
      <c r="X10" s="15">
        <v>0.3</v>
      </c>
      <c r="Y10" s="25">
        <f t="shared" si="13"/>
        <v>456.55597500000005</v>
      </c>
      <c r="Z10" s="25">
        <f t="shared" si="14"/>
        <v>913.11195000000009</v>
      </c>
      <c r="AA10" s="15">
        <v>0.5</v>
      </c>
      <c r="AB10" s="14">
        <f t="shared" si="15"/>
        <v>228.27798750000002</v>
      </c>
      <c r="AC10" s="15">
        <v>0.1</v>
      </c>
      <c r="AD10" s="14">
        <f t="shared" si="16"/>
        <v>22.827798750000003</v>
      </c>
      <c r="AE10" s="15">
        <v>0.3</v>
      </c>
      <c r="AF10" s="14">
        <f t="shared" si="17"/>
        <v>6.8483396250000004</v>
      </c>
      <c r="AG10" s="15">
        <v>0.4</v>
      </c>
      <c r="AH10" s="14">
        <f t="shared" si="18"/>
        <v>2.7393358500000002</v>
      </c>
      <c r="AI10" s="17">
        <v>417</v>
      </c>
      <c r="AJ10" s="18">
        <f t="shared" si="19"/>
        <v>1142.3030494500001</v>
      </c>
      <c r="AK10" s="18">
        <f t="shared" si="20"/>
        <v>2.9401146610986813E-2</v>
      </c>
    </row>
    <row r="11" spans="2:37" x14ac:dyDescent="0.2">
      <c r="B11" s="12" t="s">
        <v>8</v>
      </c>
      <c r="C11" s="12">
        <v>26636</v>
      </c>
      <c r="E11" s="13">
        <v>3.5000000000000003E-2</v>
      </c>
      <c r="F11" s="14">
        <f t="shared" si="0"/>
        <v>932.2600000000001</v>
      </c>
      <c r="G11" s="25">
        <f t="shared" si="1"/>
        <v>25703.74</v>
      </c>
      <c r="H11" s="21">
        <v>0.05</v>
      </c>
      <c r="I11" s="25">
        <f t="shared" si="3"/>
        <v>1285.1870000000001</v>
      </c>
      <c r="J11" s="22">
        <v>0.5</v>
      </c>
      <c r="K11" s="14">
        <f t="shared" si="4"/>
        <v>2</v>
      </c>
      <c r="M11" s="17">
        <f t="shared" si="2"/>
        <v>65248.877400000005</v>
      </c>
      <c r="N11" s="18">
        <f t="shared" si="5"/>
        <v>19574.663220000002</v>
      </c>
      <c r="O11" s="18">
        <f t="shared" si="6"/>
        <v>45674.214180000003</v>
      </c>
      <c r="P11" s="16">
        <v>0.19</v>
      </c>
      <c r="Q11" s="18">
        <f t="shared" si="7"/>
        <v>8678.1006942000004</v>
      </c>
      <c r="R11" s="18">
        <f t="shared" si="8"/>
        <v>3729.0400000000004</v>
      </c>
      <c r="S11" s="18">
        <f t="shared" si="9"/>
        <v>33267.0734858</v>
      </c>
      <c r="U11" s="25">
        <f t="shared" si="10"/>
        <v>1285.1870000000001</v>
      </c>
      <c r="V11" s="14">
        <f t="shared" si="11"/>
        <v>2</v>
      </c>
      <c r="W11" s="25">
        <f t="shared" si="12"/>
        <v>2570.3740000000003</v>
      </c>
      <c r="X11" s="15">
        <v>0.3</v>
      </c>
      <c r="Y11" s="25">
        <f t="shared" si="13"/>
        <v>385.55610000000001</v>
      </c>
      <c r="Z11" s="25">
        <f t="shared" si="14"/>
        <v>771.11220000000003</v>
      </c>
      <c r="AA11" s="15">
        <v>0.5</v>
      </c>
      <c r="AB11" s="14">
        <f t="shared" si="15"/>
        <v>192.77805000000001</v>
      </c>
      <c r="AC11" s="15">
        <v>0.1</v>
      </c>
      <c r="AD11" s="14">
        <f t="shared" si="16"/>
        <v>19.277805000000001</v>
      </c>
      <c r="AE11" s="15">
        <v>0.3</v>
      </c>
      <c r="AF11" s="14">
        <f t="shared" si="17"/>
        <v>5.7833414999999997</v>
      </c>
      <c r="AG11" s="15">
        <v>0.4</v>
      </c>
      <c r="AH11" s="14">
        <f t="shared" si="18"/>
        <v>2.3133366</v>
      </c>
      <c r="AI11" s="17">
        <v>417</v>
      </c>
      <c r="AJ11" s="18">
        <f t="shared" si="19"/>
        <v>964.66136219999999</v>
      </c>
      <c r="AK11" s="18">
        <f t="shared" si="20"/>
        <v>2.8997481927941882E-2</v>
      </c>
    </row>
    <row r="12" spans="2:37" x14ac:dyDescent="0.2">
      <c r="B12" s="12" t="s">
        <v>9</v>
      </c>
      <c r="C12" s="12">
        <v>18105</v>
      </c>
      <c r="E12" s="13">
        <v>3.5000000000000003E-2</v>
      </c>
      <c r="F12" s="14">
        <f t="shared" si="0"/>
        <v>633.67500000000007</v>
      </c>
      <c r="G12" s="25">
        <f t="shared" si="1"/>
        <v>17471.325000000001</v>
      </c>
      <c r="H12" s="21">
        <v>0.05</v>
      </c>
      <c r="I12" s="25">
        <f t="shared" si="3"/>
        <v>873.56625000000008</v>
      </c>
      <c r="J12" s="22">
        <v>0.5</v>
      </c>
      <c r="K12" s="14">
        <f t="shared" si="4"/>
        <v>2</v>
      </c>
      <c r="M12" s="17">
        <f t="shared" si="2"/>
        <v>44350.913250000005</v>
      </c>
      <c r="N12" s="18">
        <f t="shared" si="5"/>
        <v>13305.273975000002</v>
      </c>
      <c r="O12" s="18">
        <f t="shared" si="6"/>
        <v>31045.639275000001</v>
      </c>
      <c r="P12" s="16">
        <v>0.22</v>
      </c>
      <c r="Q12" s="18">
        <f t="shared" si="7"/>
        <v>6830.0406405000003</v>
      </c>
      <c r="R12" s="18">
        <f t="shared" si="8"/>
        <v>2534.7000000000003</v>
      </c>
      <c r="S12" s="18">
        <f t="shared" si="9"/>
        <v>21680.898634500001</v>
      </c>
      <c r="U12" s="25">
        <f t="shared" si="10"/>
        <v>873.56625000000008</v>
      </c>
      <c r="V12" s="14">
        <f t="shared" si="11"/>
        <v>2</v>
      </c>
      <c r="W12" s="25">
        <f t="shared" si="12"/>
        <v>1747.1325000000002</v>
      </c>
      <c r="X12" s="15">
        <v>0.3</v>
      </c>
      <c r="Y12" s="25">
        <f t="shared" si="13"/>
        <v>262.06987500000002</v>
      </c>
      <c r="Z12" s="25">
        <f t="shared" si="14"/>
        <v>524.13975000000005</v>
      </c>
      <c r="AA12" s="15">
        <v>0.5</v>
      </c>
      <c r="AB12" s="14">
        <f t="shared" si="15"/>
        <v>131.03493750000001</v>
      </c>
      <c r="AC12" s="15">
        <v>0.1</v>
      </c>
      <c r="AD12" s="14">
        <f t="shared" si="16"/>
        <v>13.103493750000002</v>
      </c>
      <c r="AE12" s="15">
        <v>0.3</v>
      </c>
      <c r="AF12" s="14">
        <f t="shared" si="17"/>
        <v>3.9310481250000002</v>
      </c>
      <c r="AG12" s="15">
        <v>0.4</v>
      </c>
      <c r="AH12" s="14">
        <f t="shared" si="18"/>
        <v>1.5724192500000003</v>
      </c>
      <c r="AI12" s="17">
        <v>417</v>
      </c>
      <c r="AJ12" s="18">
        <f t="shared" si="19"/>
        <v>655.69882725000014</v>
      </c>
      <c r="AK12" s="18">
        <f t="shared" si="20"/>
        <v>3.0243157274238219E-2</v>
      </c>
    </row>
    <row r="13" spans="2:37" x14ac:dyDescent="0.2">
      <c r="B13" s="12" t="s">
        <v>10</v>
      </c>
      <c r="C13" s="12">
        <v>12835</v>
      </c>
      <c r="E13" s="13">
        <v>3.5000000000000003E-2</v>
      </c>
      <c r="F13" s="14">
        <f t="shared" si="0"/>
        <v>449.22500000000002</v>
      </c>
      <c r="G13" s="25">
        <f t="shared" si="1"/>
        <v>12385.775</v>
      </c>
      <c r="H13" s="21">
        <v>0.05</v>
      </c>
      <c r="I13" s="25">
        <f t="shared" si="3"/>
        <v>619.28875000000005</v>
      </c>
      <c r="J13" s="22">
        <v>0.5</v>
      </c>
      <c r="K13" s="14">
        <f t="shared" si="4"/>
        <v>2</v>
      </c>
      <c r="M13" s="17">
        <f t="shared" si="2"/>
        <v>31441.257750000001</v>
      </c>
      <c r="N13" s="18">
        <f t="shared" si="5"/>
        <v>9432.3773249999995</v>
      </c>
      <c r="O13" s="18">
        <f t="shared" si="6"/>
        <v>22008.880425000003</v>
      </c>
      <c r="P13" s="16">
        <v>0.2</v>
      </c>
      <c r="Q13" s="18">
        <f t="shared" si="7"/>
        <v>4401.7760850000004</v>
      </c>
      <c r="R13" s="18">
        <f t="shared" si="8"/>
        <v>1796.9</v>
      </c>
      <c r="S13" s="18">
        <f t="shared" si="9"/>
        <v>15810.204340000002</v>
      </c>
      <c r="U13" s="25">
        <f t="shared" si="10"/>
        <v>619.28875000000005</v>
      </c>
      <c r="V13" s="14">
        <f t="shared" si="11"/>
        <v>2</v>
      </c>
      <c r="W13" s="25">
        <f t="shared" si="12"/>
        <v>1238.5775000000001</v>
      </c>
      <c r="X13" s="15">
        <v>0.3</v>
      </c>
      <c r="Y13" s="25">
        <f t="shared" si="13"/>
        <v>185.78662500000002</v>
      </c>
      <c r="Z13" s="25">
        <f t="shared" si="14"/>
        <v>371.57325000000003</v>
      </c>
      <c r="AA13" s="15">
        <v>0.5</v>
      </c>
      <c r="AB13" s="14">
        <f t="shared" si="15"/>
        <v>92.893312500000008</v>
      </c>
      <c r="AC13" s="15">
        <v>0.1</v>
      </c>
      <c r="AD13" s="14">
        <f t="shared" si="16"/>
        <v>9.2893312500000018</v>
      </c>
      <c r="AE13" s="15">
        <v>0.3</v>
      </c>
      <c r="AF13" s="14">
        <f t="shared" si="17"/>
        <v>2.7867993750000006</v>
      </c>
      <c r="AG13" s="15">
        <v>0.4</v>
      </c>
      <c r="AH13" s="14">
        <f t="shared" si="18"/>
        <v>1.1147197500000003</v>
      </c>
      <c r="AI13" s="17">
        <v>417</v>
      </c>
      <c r="AJ13" s="18">
        <f t="shared" si="19"/>
        <v>464.83813575000016</v>
      </c>
      <c r="AK13" s="18">
        <f t="shared" si="20"/>
        <v>2.940114661098682E-2</v>
      </c>
    </row>
    <row r="14" spans="2:37" x14ac:dyDescent="0.2">
      <c r="B14" s="12" t="s">
        <v>11</v>
      </c>
      <c r="C14" s="12">
        <v>17621</v>
      </c>
      <c r="E14" s="13">
        <v>3.5000000000000003E-2</v>
      </c>
      <c r="F14" s="14">
        <f t="shared" si="0"/>
        <v>616.73500000000001</v>
      </c>
      <c r="G14" s="25">
        <f t="shared" si="1"/>
        <v>17004.264999999999</v>
      </c>
      <c r="H14" s="21">
        <v>0.05</v>
      </c>
      <c r="I14" s="25">
        <f t="shared" si="3"/>
        <v>850.21325000000002</v>
      </c>
      <c r="J14" s="22">
        <v>0.5</v>
      </c>
      <c r="K14" s="14">
        <f t="shared" si="4"/>
        <v>2</v>
      </c>
      <c r="M14" s="17">
        <f t="shared" si="2"/>
        <v>43165.282650000001</v>
      </c>
      <c r="N14" s="18">
        <f t="shared" si="5"/>
        <v>12949.584795000001</v>
      </c>
      <c r="O14" s="18">
        <f t="shared" si="6"/>
        <v>30215.697854999999</v>
      </c>
      <c r="P14" s="16">
        <v>0.21</v>
      </c>
      <c r="Q14" s="18">
        <f t="shared" si="7"/>
        <v>6345.2965495499993</v>
      </c>
      <c r="R14" s="18">
        <f t="shared" si="8"/>
        <v>2466.94</v>
      </c>
      <c r="S14" s="18">
        <f t="shared" si="9"/>
        <v>21403.461305450001</v>
      </c>
      <c r="U14" s="25">
        <f t="shared" si="10"/>
        <v>850.21325000000002</v>
      </c>
      <c r="V14" s="14">
        <f t="shared" si="11"/>
        <v>2</v>
      </c>
      <c r="W14" s="25">
        <f t="shared" si="12"/>
        <v>1700.4265</v>
      </c>
      <c r="X14" s="15">
        <v>0.3</v>
      </c>
      <c r="Y14" s="25">
        <f t="shared" si="13"/>
        <v>255.063975</v>
      </c>
      <c r="Z14" s="25">
        <f t="shared" si="14"/>
        <v>510.12795</v>
      </c>
      <c r="AA14" s="15">
        <v>0.5</v>
      </c>
      <c r="AB14" s="14">
        <f t="shared" si="15"/>
        <v>127.5319875</v>
      </c>
      <c r="AC14" s="15">
        <v>0.1</v>
      </c>
      <c r="AD14" s="14">
        <f t="shared" si="16"/>
        <v>12.753198750000001</v>
      </c>
      <c r="AE14" s="15">
        <v>0.3</v>
      </c>
      <c r="AF14" s="14">
        <f t="shared" si="17"/>
        <v>3.8259596250000003</v>
      </c>
      <c r="AG14" s="15">
        <v>0.4</v>
      </c>
      <c r="AH14" s="14">
        <f t="shared" si="18"/>
        <v>1.5303838500000002</v>
      </c>
      <c r="AI14" s="17">
        <v>417</v>
      </c>
      <c r="AJ14" s="18">
        <f t="shared" si="19"/>
        <v>638.17006545000004</v>
      </c>
      <c r="AK14" s="18">
        <f t="shared" si="20"/>
        <v>2.9816208525464134E-2</v>
      </c>
    </row>
    <row r="15" spans="2:37" x14ac:dyDescent="0.2">
      <c r="B15" s="12" t="s">
        <v>12</v>
      </c>
      <c r="C15" s="12">
        <v>10883</v>
      </c>
      <c r="E15" s="13">
        <v>3.5000000000000003E-2</v>
      </c>
      <c r="F15" s="14">
        <f t="shared" si="0"/>
        <v>380.90500000000003</v>
      </c>
      <c r="G15" s="25">
        <f t="shared" si="1"/>
        <v>10502.094999999999</v>
      </c>
      <c r="H15" s="21">
        <v>0.05</v>
      </c>
      <c r="I15" s="25">
        <f t="shared" si="3"/>
        <v>525.10474999999997</v>
      </c>
      <c r="J15" s="22">
        <v>0.5</v>
      </c>
      <c r="K15" s="14">
        <f t="shared" si="4"/>
        <v>2</v>
      </c>
      <c r="M15" s="17">
        <f t="shared" si="2"/>
        <v>26659.540949999999</v>
      </c>
      <c r="N15" s="18">
        <f t="shared" si="5"/>
        <v>7997.8622849999992</v>
      </c>
      <c r="O15" s="18">
        <f t="shared" si="6"/>
        <v>18661.678664999999</v>
      </c>
      <c r="P15" s="16">
        <v>0.21</v>
      </c>
      <c r="Q15" s="18">
        <f t="shared" si="7"/>
        <v>3918.9525196499999</v>
      </c>
      <c r="R15" s="18">
        <f t="shared" si="8"/>
        <v>1523.6200000000001</v>
      </c>
      <c r="S15" s="18">
        <f t="shared" si="9"/>
        <v>13219.106145349999</v>
      </c>
      <c r="U15" s="25">
        <f t="shared" si="10"/>
        <v>525.10474999999997</v>
      </c>
      <c r="V15" s="14">
        <f t="shared" si="11"/>
        <v>2</v>
      </c>
      <c r="W15" s="25">
        <f t="shared" si="12"/>
        <v>1050.2094999999999</v>
      </c>
      <c r="X15" s="15">
        <v>0.3</v>
      </c>
      <c r="Y15" s="25">
        <f t="shared" si="13"/>
        <v>157.53142499999998</v>
      </c>
      <c r="Z15" s="25">
        <f t="shared" si="14"/>
        <v>315.06284999999997</v>
      </c>
      <c r="AA15" s="15">
        <v>0.5</v>
      </c>
      <c r="AB15" s="14">
        <f t="shared" si="15"/>
        <v>78.765712499999992</v>
      </c>
      <c r="AC15" s="15">
        <v>0.1</v>
      </c>
      <c r="AD15" s="14">
        <f t="shared" si="16"/>
        <v>7.8765712499999996</v>
      </c>
      <c r="AE15" s="15">
        <v>0.3</v>
      </c>
      <c r="AF15" s="14">
        <f t="shared" si="17"/>
        <v>2.3629713749999999</v>
      </c>
      <c r="AG15" s="15">
        <v>0.4</v>
      </c>
      <c r="AH15" s="14">
        <f t="shared" si="18"/>
        <v>0.94518855000000002</v>
      </c>
      <c r="AI15" s="17">
        <v>417</v>
      </c>
      <c r="AJ15" s="18">
        <f t="shared" si="19"/>
        <v>394.14362534999998</v>
      </c>
      <c r="AK15" s="18">
        <f t="shared" si="20"/>
        <v>2.9816208525464134E-2</v>
      </c>
    </row>
    <row r="16" spans="2:37" x14ac:dyDescent="0.2">
      <c r="B16" s="12" t="s">
        <v>13</v>
      </c>
      <c r="C16" s="12">
        <v>10794</v>
      </c>
      <c r="E16" s="13">
        <v>3.5000000000000003E-2</v>
      </c>
      <c r="F16" s="14">
        <f t="shared" si="0"/>
        <v>377.79</v>
      </c>
      <c r="G16" s="25">
        <f t="shared" si="1"/>
        <v>10416.209999999999</v>
      </c>
      <c r="H16" s="21">
        <v>0.05</v>
      </c>
      <c r="I16" s="25">
        <f t="shared" si="3"/>
        <v>520.81049999999993</v>
      </c>
      <c r="J16" s="22">
        <v>0.5</v>
      </c>
      <c r="K16" s="14">
        <f t="shared" si="4"/>
        <v>2</v>
      </c>
      <c r="M16" s="17">
        <f t="shared" si="2"/>
        <v>26441.522099999998</v>
      </c>
      <c r="N16" s="18">
        <f t="shared" si="5"/>
        <v>7932.4566299999988</v>
      </c>
      <c r="O16" s="18">
        <f t="shared" si="6"/>
        <v>18509.065470000001</v>
      </c>
      <c r="P16" s="16">
        <v>0.19</v>
      </c>
      <c r="Q16" s="18">
        <f t="shared" si="7"/>
        <v>3516.7224393000001</v>
      </c>
      <c r="R16" s="18">
        <f t="shared" si="8"/>
        <v>1511.16</v>
      </c>
      <c r="S16" s="18">
        <f t="shared" si="9"/>
        <v>13481.183030700002</v>
      </c>
      <c r="U16" s="25">
        <f t="shared" si="10"/>
        <v>520.81049999999993</v>
      </c>
      <c r="V16" s="14">
        <f t="shared" si="11"/>
        <v>2</v>
      </c>
      <c r="W16" s="25">
        <f t="shared" si="12"/>
        <v>1041.6209999999999</v>
      </c>
      <c r="X16" s="15">
        <v>0.3</v>
      </c>
      <c r="Y16" s="25">
        <f t="shared" si="13"/>
        <v>156.24314999999999</v>
      </c>
      <c r="Z16" s="25">
        <f t="shared" si="14"/>
        <v>312.48629999999997</v>
      </c>
      <c r="AA16" s="15">
        <v>0.5</v>
      </c>
      <c r="AB16" s="14">
        <f t="shared" si="15"/>
        <v>78.121574999999993</v>
      </c>
      <c r="AC16" s="15">
        <v>0.1</v>
      </c>
      <c r="AD16" s="14">
        <f t="shared" si="16"/>
        <v>7.8121574999999996</v>
      </c>
      <c r="AE16" s="15">
        <v>0.3</v>
      </c>
      <c r="AF16" s="14">
        <f t="shared" si="17"/>
        <v>2.3436472499999996</v>
      </c>
      <c r="AG16" s="15">
        <v>0.4</v>
      </c>
      <c r="AH16" s="14">
        <f t="shared" si="18"/>
        <v>0.93745889999999987</v>
      </c>
      <c r="AI16" s="17">
        <v>417</v>
      </c>
      <c r="AJ16" s="18">
        <f t="shared" si="19"/>
        <v>390.92036129999997</v>
      </c>
      <c r="AK16" s="18">
        <f t="shared" si="20"/>
        <v>2.8997481927941875E-2</v>
      </c>
    </row>
    <row r="17" spans="2:39" x14ac:dyDescent="0.2">
      <c r="B17" s="12" t="s">
        <v>14</v>
      </c>
      <c r="C17" s="12">
        <v>6912</v>
      </c>
      <c r="E17" s="13">
        <v>3.5000000000000003E-2</v>
      </c>
      <c r="F17" s="14">
        <f t="shared" si="0"/>
        <v>241.92000000000002</v>
      </c>
      <c r="G17" s="25">
        <f t="shared" si="1"/>
        <v>6670.08</v>
      </c>
      <c r="H17" s="21">
        <v>0.05</v>
      </c>
      <c r="I17" s="25">
        <f t="shared" si="3"/>
        <v>333.50400000000002</v>
      </c>
      <c r="J17" s="22">
        <v>0.5</v>
      </c>
      <c r="K17" s="14">
        <f t="shared" si="4"/>
        <v>2</v>
      </c>
      <c r="M17" s="17">
        <f t="shared" si="2"/>
        <v>16931.980800000001</v>
      </c>
      <c r="N17" s="18">
        <f t="shared" si="5"/>
        <v>5079.5942400000004</v>
      </c>
      <c r="O17" s="18">
        <f t="shared" si="6"/>
        <v>11852.386560000001</v>
      </c>
      <c r="P17" s="16">
        <v>0.27</v>
      </c>
      <c r="Q17" s="18">
        <f t="shared" si="7"/>
        <v>3200.1443712000005</v>
      </c>
      <c r="R17" s="18">
        <f t="shared" si="8"/>
        <v>967.68000000000006</v>
      </c>
      <c r="S17" s="18">
        <f t="shared" si="9"/>
        <v>7684.5621888000005</v>
      </c>
      <c r="U17" s="25">
        <f t="shared" si="10"/>
        <v>333.50400000000002</v>
      </c>
      <c r="V17" s="14">
        <f t="shared" si="11"/>
        <v>2</v>
      </c>
      <c r="W17" s="25">
        <f t="shared" si="12"/>
        <v>667.00800000000004</v>
      </c>
      <c r="X17" s="15">
        <v>0.3</v>
      </c>
      <c r="Y17" s="25">
        <f t="shared" si="13"/>
        <v>100.05120000000001</v>
      </c>
      <c r="Z17" s="25">
        <f t="shared" si="14"/>
        <v>200.10240000000002</v>
      </c>
      <c r="AA17" s="15">
        <v>0.5</v>
      </c>
      <c r="AB17" s="14">
        <f t="shared" si="15"/>
        <v>50.025600000000004</v>
      </c>
      <c r="AC17" s="15">
        <v>0.1</v>
      </c>
      <c r="AD17" s="14">
        <f t="shared" si="16"/>
        <v>5.0025600000000008</v>
      </c>
      <c r="AE17" s="15">
        <v>0.3</v>
      </c>
      <c r="AF17" s="14">
        <f t="shared" si="17"/>
        <v>1.5007680000000001</v>
      </c>
      <c r="AG17" s="15">
        <v>0.4</v>
      </c>
      <c r="AH17" s="14">
        <f t="shared" si="18"/>
        <v>0.60030720000000004</v>
      </c>
      <c r="AI17" s="17">
        <v>417</v>
      </c>
      <c r="AJ17" s="18">
        <f t="shared" si="19"/>
        <v>250.32810240000001</v>
      </c>
      <c r="AK17" s="18">
        <f t="shared" si="20"/>
        <v>3.2575454040159255E-2</v>
      </c>
    </row>
    <row r="18" spans="2:39" x14ac:dyDescent="0.2">
      <c r="B18" s="2"/>
      <c r="C18" s="2"/>
      <c r="E18" s="3"/>
      <c r="F18" s="2"/>
      <c r="G18" s="2"/>
      <c r="H18" s="2"/>
      <c r="I18" s="2"/>
      <c r="J18" s="2"/>
      <c r="K18" s="2"/>
      <c r="M18" s="4"/>
      <c r="N18" s="2"/>
      <c r="O18" s="2"/>
      <c r="P18" s="5"/>
      <c r="Q18" s="2"/>
      <c r="R18" s="2"/>
      <c r="S18" s="2"/>
      <c r="AM18" s="8"/>
    </row>
    <row r="19" spans="2:39" x14ac:dyDescent="0.2">
      <c r="B19" s="2"/>
      <c r="C19" s="8"/>
      <c r="E19" s="8"/>
      <c r="F19" s="8"/>
      <c r="G19" s="9"/>
      <c r="H19" s="8"/>
      <c r="I19" s="9"/>
      <c r="J19" s="8"/>
      <c r="K19" s="10"/>
      <c r="M19" s="11"/>
      <c r="N19" s="11"/>
      <c r="O19" s="11"/>
      <c r="P19" s="8"/>
      <c r="Q19" s="11"/>
      <c r="R19" s="11"/>
      <c r="S19" s="11"/>
      <c r="U19" s="9"/>
      <c r="V19" s="8"/>
      <c r="W19" s="9"/>
      <c r="X19" s="8"/>
      <c r="Y19" s="9"/>
      <c r="Z19" s="9"/>
      <c r="AA19" s="8"/>
      <c r="AB19" s="9"/>
      <c r="AC19" s="8"/>
      <c r="AD19" s="9"/>
      <c r="AE19" s="8"/>
      <c r="AF19" s="9"/>
      <c r="AG19" s="8"/>
      <c r="AH19" s="9"/>
      <c r="AI19" s="8"/>
      <c r="AJ19" s="11"/>
      <c r="AK19" s="8"/>
      <c r="AM19" s="11"/>
    </row>
  </sheetData>
  <mergeCells count="3">
    <mergeCell ref="E6:K6"/>
    <mergeCell ref="M6:S6"/>
    <mergeCell ref="U6:AK6"/>
  </mergeCells>
  <pageMargins left="0.7" right="0.7" top="0.75" bottom="0.75" header="0.3" footer="0.3"/>
  <headerFooter>
    <oddHeader>&amp;C&amp;"Aptos"&amp;10&amp;KFFFF00 CONFIDENTIAL - INTERNAL&amp;1#_x000D_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F192-50CD-634C-AE25-E8986201D18A}">
  <dimension ref="B3:J41"/>
  <sheetViews>
    <sheetView topLeftCell="A11" workbookViewId="0">
      <selection activeCell="D41" sqref="D41"/>
    </sheetView>
  </sheetViews>
  <sheetFormatPr baseColWidth="10" defaultRowHeight="16" x14ac:dyDescent="0.2"/>
  <cols>
    <col min="1" max="1" width="10.83203125" style="2"/>
    <col min="2" max="2" width="39.1640625" style="2" customWidth="1"/>
    <col min="3" max="3" width="20.1640625" style="2" bestFit="1" customWidth="1"/>
    <col min="4" max="4" width="14.1640625" style="2" bestFit="1" customWidth="1"/>
    <col min="5" max="5" width="20.33203125" style="2" customWidth="1"/>
    <col min="6" max="6" width="10.5" style="2" customWidth="1"/>
    <col min="7" max="7" width="36.1640625" style="2" bestFit="1" customWidth="1"/>
    <col min="8" max="9" width="14.1640625" style="2" bestFit="1" customWidth="1"/>
    <col min="10" max="10" width="19.83203125" style="2" bestFit="1" customWidth="1"/>
    <col min="11" max="16384" width="10.83203125" style="2"/>
  </cols>
  <sheetData>
    <row r="3" spans="2:10" ht="23" x14ac:dyDescent="0.25">
      <c r="B3" s="23" t="s">
        <v>67</v>
      </c>
    </row>
    <row r="6" spans="2:10" x14ac:dyDescent="0.2">
      <c r="C6" s="30" t="s">
        <v>55</v>
      </c>
      <c r="D6" s="30"/>
      <c r="E6" s="30"/>
      <c r="H6" s="30" t="s">
        <v>66</v>
      </c>
      <c r="I6" s="30"/>
      <c r="J6" s="30"/>
    </row>
    <row r="7" spans="2:10" x14ac:dyDescent="0.2">
      <c r="B7" s="6" t="s">
        <v>51</v>
      </c>
      <c r="C7" s="7" t="s">
        <v>64</v>
      </c>
      <c r="D7" s="7" t="s">
        <v>65</v>
      </c>
      <c r="E7" s="6" t="s">
        <v>52</v>
      </c>
      <c r="F7" s="27"/>
      <c r="G7" s="6" t="s">
        <v>51</v>
      </c>
      <c r="H7" s="7" t="s">
        <v>64</v>
      </c>
      <c r="I7" s="7" t="s">
        <v>65</v>
      </c>
      <c r="J7" s="6" t="s">
        <v>52</v>
      </c>
    </row>
    <row r="8" spans="2:10" x14ac:dyDescent="0.2">
      <c r="B8" s="12" t="s">
        <v>53</v>
      </c>
      <c r="C8" s="25">
        <f>SUM('Lightweight Freemium'!C$8:C$17)</f>
        <v>219819</v>
      </c>
      <c r="D8" s="25">
        <f>SUM('Hard Paywall'!C$8:C$17)</f>
        <v>219819</v>
      </c>
      <c r="E8" s="12">
        <f t="shared" ref="E8:E13" si="0">D8-C8</f>
        <v>0</v>
      </c>
      <c r="G8" s="12" t="s">
        <v>57</v>
      </c>
      <c r="H8" s="18">
        <f>SUM('Lightweight Freemium'!S$8:S$17)</f>
        <v>267168.22239975003</v>
      </c>
      <c r="I8" s="18">
        <f>SUM('Hard Paywall'!S$8:S$17)</f>
        <v>267168.22239975003</v>
      </c>
      <c r="J8" s="18">
        <f>I8-H8</f>
        <v>0</v>
      </c>
    </row>
    <row r="9" spans="2:10" x14ac:dyDescent="0.2">
      <c r="B9" s="12" t="s">
        <v>24</v>
      </c>
      <c r="C9" s="25">
        <f>SUM('Lightweight Freemium'!F$8:F$17)</f>
        <v>7693.6650000000009</v>
      </c>
      <c r="D9" s="25">
        <f>SUM('Hard Paywall'!F$8:F$17)</f>
        <v>7693.6650000000009</v>
      </c>
      <c r="E9" s="12">
        <f t="shared" si="0"/>
        <v>0</v>
      </c>
      <c r="G9" s="12" t="s">
        <v>58</v>
      </c>
      <c r="H9" s="18">
        <f>SUM('Lightweight Freemium'!AJ$8:AJ$17)</f>
        <v>111454.89351569999</v>
      </c>
      <c r="I9" s="18">
        <f>SUM('Hard Paywall'!AJ$8:AJ$17)</f>
        <v>7961.0638225500006</v>
      </c>
      <c r="J9" s="18">
        <f>I9-H9</f>
        <v>-103493.82969314999</v>
      </c>
    </row>
    <row r="10" spans="2:10" x14ac:dyDescent="0.2">
      <c r="B10" s="12" t="s">
        <v>18</v>
      </c>
      <c r="C10" s="25">
        <f>SUM('Lightweight Freemium'!G$8:G$17)</f>
        <v>212125.33499999999</v>
      </c>
      <c r="D10" s="25">
        <f>SUM('Hard Paywall'!G$8:G$17)</f>
        <v>212125.33499999999</v>
      </c>
      <c r="E10" s="12">
        <f t="shared" si="0"/>
        <v>0</v>
      </c>
      <c r="G10" s="28" t="s">
        <v>59</v>
      </c>
      <c r="H10" s="18">
        <f>SUM(H8:H9)</f>
        <v>378623.11591545003</v>
      </c>
      <c r="I10" s="18">
        <f>SUM(I8:I9)</f>
        <v>275129.28622230003</v>
      </c>
      <c r="J10" s="18">
        <f>I10-H10</f>
        <v>-103493.82969315001</v>
      </c>
    </row>
    <row r="11" spans="2:10" x14ac:dyDescent="0.2">
      <c r="B11" s="12" t="s">
        <v>54</v>
      </c>
      <c r="C11" s="16">
        <f>AVERAGE('Lightweight Freemium'!H$8:H$17)</f>
        <v>0.70000000000000007</v>
      </c>
      <c r="D11" s="16">
        <f>AVERAGE('Hard Paywall'!H$8:H$17)</f>
        <v>4.9999999999999996E-2</v>
      </c>
      <c r="E11" s="16">
        <f t="shared" si="0"/>
        <v>-0.65</v>
      </c>
    </row>
    <row r="12" spans="2:10" x14ac:dyDescent="0.2">
      <c r="B12" s="12" t="s">
        <v>19</v>
      </c>
      <c r="C12" s="25">
        <f>SUM('Lightweight Freemium'!I$8:I$17)</f>
        <v>148487.73450000002</v>
      </c>
      <c r="D12" s="25">
        <f>SUM('Hard Paywall'!I$8:I$17)</f>
        <v>10606.266750000003</v>
      </c>
      <c r="E12" s="25">
        <f t="shared" si="0"/>
        <v>-137881.46775000001</v>
      </c>
    </row>
    <row r="13" spans="2:10" x14ac:dyDescent="0.2">
      <c r="B13" s="12" t="s">
        <v>21</v>
      </c>
      <c r="C13" s="25">
        <f>AVERAGE('Lightweight Freemium'!K$8:K$17)</f>
        <v>19.999999999999979</v>
      </c>
      <c r="D13" s="25">
        <f>AVERAGE('Hard Paywall'!K$8:K$17)</f>
        <v>2</v>
      </c>
      <c r="E13" s="12">
        <f t="shared" si="0"/>
        <v>-17.999999999999979</v>
      </c>
    </row>
    <row r="15" spans="2:10" x14ac:dyDescent="0.2">
      <c r="C15" s="30" t="s">
        <v>56</v>
      </c>
      <c r="D15" s="30"/>
      <c r="E15" s="30"/>
      <c r="H15" s="30" t="s">
        <v>63</v>
      </c>
      <c r="I15" s="30"/>
      <c r="J15" s="30"/>
    </row>
    <row r="16" spans="2:10" x14ac:dyDescent="0.2">
      <c r="B16" s="6" t="s">
        <v>51</v>
      </c>
      <c r="C16" s="7" t="s">
        <v>64</v>
      </c>
      <c r="D16" s="7" t="s">
        <v>65</v>
      </c>
      <c r="E16" s="6" t="s">
        <v>52</v>
      </c>
      <c r="F16" s="27"/>
      <c r="G16" s="6" t="s">
        <v>51</v>
      </c>
      <c r="H16" s="7" t="s">
        <v>64</v>
      </c>
      <c r="I16" s="7" t="s">
        <v>65</v>
      </c>
      <c r="J16" s="6" t="s">
        <v>52</v>
      </c>
    </row>
    <row r="17" spans="2:10" x14ac:dyDescent="0.2">
      <c r="B17" s="12" t="s">
        <v>31</v>
      </c>
      <c r="C17" s="25">
        <f>SUM('Lightweight Freemium'!U$8:U$17)</f>
        <v>148487.73450000002</v>
      </c>
      <c r="D17" s="25">
        <f>SUM('Hard Paywall'!U$8:U$17)</f>
        <v>10606.266750000003</v>
      </c>
      <c r="E17" s="25">
        <f>D17-C17</f>
        <v>-137881.46775000001</v>
      </c>
      <c r="G17" s="12" t="s">
        <v>60</v>
      </c>
      <c r="H17" s="20">
        <f>H9/H8</f>
        <v>0.41717122086823555</v>
      </c>
      <c r="I17" s="20">
        <f>I9/I8</f>
        <v>2.9797944347731115E-2</v>
      </c>
      <c r="J17" s="24">
        <f>I17-H17</f>
        <v>-0.38737327652050446</v>
      </c>
    </row>
    <row r="18" spans="2:10" x14ac:dyDescent="0.2">
      <c r="B18" s="12" t="s">
        <v>30</v>
      </c>
      <c r="C18" s="25">
        <f>SUM('Lightweight Freemium'!Y$8:Y$17)</f>
        <v>44546.320350000002</v>
      </c>
      <c r="D18" s="25">
        <f>SUM('Hard Paywall'!Y$8:Y$17)</f>
        <v>3181.8800250000004</v>
      </c>
      <c r="E18" s="25">
        <f>D18-C18</f>
        <v>-41364.440325000003</v>
      </c>
      <c r="G18" s="12" t="s">
        <v>61</v>
      </c>
      <c r="H18" s="14">
        <f>C12/C9</f>
        <v>19.3</v>
      </c>
      <c r="I18" s="14">
        <f>D12/D9</f>
        <v>1.3785714285714288</v>
      </c>
      <c r="J18" s="25">
        <f>I18-H18</f>
        <v>-17.921428571428571</v>
      </c>
    </row>
    <row r="19" spans="2:10" x14ac:dyDescent="0.2">
      <c r="B19" s="12" t="s">
        <v>32</v>
      </c>
      <c r="C19" s="25">
        <f>SUM('Lightweight Freemium'!Z$8:Z$17)</f>
        <v>890926.40699999931</v>
      </c>
      <c r="D19" s="25">
        <f>SUM('Hard Paywall'!Z$8:Z$17)</f>
        <v>6363.7600500000008</v>
      </c>
      <c r="E19" s="25">
        <f>D19-C19</f>
        <v>-884562.64694999927</v>
      </c>
      <c r="G19" s="12" t="s">
        <v>62</v>
      </c>
      <c r="H19" s="12">
        <f>(C20/C8)*1000</f>
        <v>3.0397500000000002</v>
      </c>
      <c r="I19" s="29">
        <f>D20/D8</f>
        <v>2.1712500000000003E-4</v>
      </c>
      <c r="J19" s="24">
        <f>I19-H19</f>
        <v>-3.0395328750000004</v>
      </c>
    </row>
    <row r="20" spans="2:10" x14ac:dyDescent="0.2">
      <c r="B20" s="12" t="s">
        <v>38</v>
      </c>
      <c r="C20" s="25">
        <f>SUM('Lightweight Freemium'!AF$8:AF$17)</f>
        <v>668.19480525000006</v>
      </c>
      <c r="D20" s="25">
        <f>SUM('Hard Paywall'!AF$8:AF$17)</f>
        <v>47.728200375000007</v>
      </c>
      <c r="E20" s="25">
        <f>D20-C20</f>
        <v>-620.46660487500003</v>
      </c>
    </row>
    <row r="21" spans="2:10" x14ac:dyDescent="0.2">
      <c r="B21" s="12" t="s">
        <v>40</v>
      </c>
      <c r="C21" s="25">
        <f>SUM('Lightweight Freemium'!AH$8:AH$17)</f>
        <v>267.27792209999996</v>
      </c>
      <c r="D21" s="25">
        <f>SUM('Hard Paywall'!AH$8:AH$17)</f>
        <v>19.091280150000003</v>
      </c>
      <c r="E21" s="25">
        <f>D21-C21</f>
        <v>-248.18664194999997</v>
      </c>
    </row>
    <row r="41" spans="4:4" ht="18" x14ac:dyDescent="0.2">
      <c r="D41" s="26"/>
    </row>
  </sheetData>
  <mergeCells count="4">
    <mergeCell ref="C6:E6"/>
    <mergeCell ref="C15:E15"/>
    <mergeCell ref="H6:J6"/>
    <mergeCell ref="H15:J15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8fc2efde-42bd-4941-b3c1-13138aed43b7}" enabled="1" method="Privileged" siteId="{c97a84f5-62bf-4715-beca-fc25af9516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Lightweight Freemium</vt:lpstr>
      <vt:lpstr>Hard Paywall</vt:lpstr>
      <vt:lpstr>LFr vs HPw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Barguilla Sergio</dc:creator>
  <cp:lastModifiedBy>Barguilla Sergio</cp:lastModifiedBy>
  <dcterms:created xsi:type="dcterms:W3CDTF">2026-01-27T08:51:54Z</dcterms:created>
  <dcterms:modified xsi:type="dcterms:W3CDTF">2026-02-19T14:21:29Z</dcterms:modified>
</cp:coreProperties>
</file>